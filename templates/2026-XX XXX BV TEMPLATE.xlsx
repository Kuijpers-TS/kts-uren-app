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32ea6c2ec2ae0875/Administratie KTS BV/KTS B.V/2026/Verstuurd Q1/"/>
    </mc:Choice>
  </mc:AlternateContent>
  <xr:revisionPtr revIDLastSave="171" documentId="13_ncr:1_{D3F54652-8262-467C-8668-D0A0D397E1C3}" xr6:coauthVersionLast="47" xr6:coauthVersionMax="47" xr10:uidLastSave="{FE58EB4F-555B-45A8-B9F1-0C2200A344C1}"/>
  <bookViews>
    <workbookView xWindow="-98" yWindow="-98" windowWidth="21795" windowHeight="12975" xr2:uid="{00000000-000D-0000-FFFF-FFFF00000000}"/>
  </bookViews>
  <sheets>
    <sheet name="Blad1" sheetId="2" r:id="rId1"/>
    <sheet name="Gewerkte uren Leon" sheetId="3" r:id="rId2"/>
    <sheet name="Gewerkte uren Mark" sheetId="4" r:id="rId3"/>
  </sheets>
  <definedNames>
    <definedName name="_xlnm.Print_Area" localSheetId="0">Blad1!$A$1:$G$62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6" i="2" l="1"/>
  <c r="F37" i="2"/>
  <c r="B34" i="4"/>
  <c r="B34" i="3"/>
  <c r="C26" i="2" l="1"/>
  <c r="E54" i="2"/>
  <c r="F54" i="2" s="1"/>
  <c r="A61" i="2"/>
  <c r="F48" i="2"/>
  <c r="F56" i="2" l="1"/>
  <c r="A60" i="2" s="1"/>
</calcChain>
</file>

<file path=xl/sharedStrings.xml><?xml version="1.0" encoding="utf-8"?>
<sst xmlns="http://schemas.openxmlformats.org/spreadsheetml/2006/main" count="150" uniqueCount="73">
  <si>
    <t>Kuijpers Technical Services BV</t>
  </si>
  <si>
    <t>Nieuwboerweg 2A</t>
  </si>
  <si>
    <t>1738BB Waarland</t>
  </si>
  <si>
    <t>M: 06 51 23 90 50</t>
  </si>
  <si>
    <t>E: info@kuijpers-ts.nl</t>
  </si>
  <si>
    <t>KVK: 93410557</t>
  </si>
  <si>
    <t>BTW: NL866385368B01</t>
  </si>
  <si>
    <t>IBAN: NL61 BUNQ 2113 3747 30</t>
  </si>
  <si>
    <t>Levvel MTC B.V.</t>
  </si>
  <si>
    <t>BIC: BUNQNL2A</t>
  </si>
  <si>
    <t>t.a.v. crediteurenadministratie</t>
  </si>
  <si>
    <t>invoices.rotterdam@vanoord.com</t>
  </si>
  <si>
    <t>Postbus 800</t>
  </si>
  <si>
    <t>2800 AB Gouda</t>
  </si>
  <si>
    <t>PROFORMA Factuur</t>
  </si>
  <si>
    <t>Factuurnummer:</t>
  </si>
  <si>
    <t>Factuurdatum:</t>
  </si>
  <si>
    <t>Vervaldatum:</t>
  </si>
  <si>
    <t>Project</t>
  </si>
  <si>
    <t>DBFM Afsluitdijk - Onderhoudsfase</t>
  </si>
  <si>
    <t>Projectnummer</t>
  </si>
  <si>
    <t>Opdrachtnummer</t>
  </si>
  <si>
    <t>ASD-INK-7054</t>
  </si>
  <si>
    <t>Loonheffingennummer KTDS Holding B.V.</t>
  </si>
  <si>
    <t>866381557L01</t>
  </si>
  <si>
    <t>Loonheffingennummer Kuijpers TD Holding B.V.</t>
  </si>
  <si>
    <t>866381594L01</t>
  </si>
  <si>
    <t>Datum</t>
  </si>
  <si>
    <t>Omschrijving</t>
  </si>
  <si>
    <t>Aantal</t>
  </si>
  <si>
    <t>Eenheid</t>
  </si>
  <si>
    <t>Tarief</t>
  </si>
  <si>
    <t>Subtotaal</t>
  </si>
  <si>
    <t>BTW %</t>
  </si>
  <si>
    <t>Inzet Leon Kuijpers september (Maintenance engineer WTB)</t>
  </si>
  <si>
    <t>uur</t>
  </si>
  <si>
    <t>Inzet Mark Kuijpers september (Maintenance engineer WTB)</t>
  </si>
  <si>
    <t>Subtotaal excl. BTW</t>
  </si>
  <si>
    <t>over</t>
  </si>
  <si>
    <t>Totaal te betalen</t>
  </si>
  <si>
    <t>Gewerkte uren Leon</t>
  </si>
  <si>
    <t>Week 36</t>
  </si>
  <si>
    <t>Maandag 1 september</t>
  </si>
  <si>
    <t>Dinsdag 2 september</t>
  </si>
  <si>
    <t>Woensdag 3 september</t>
  </si>
  <si>
    <t>Donderdag 4 september</t>
  </si>
  <si>
    <t>Vrijdag 5 september</t>
  </si>
  <si>
    <t>Week 37</t>
  </si>
  <si>
    <t>Maandag 8 september</t>
  </si>
  <si>
    <t>Dinsdag 9 september</t>
  </si>
  <si>
    <t>Woensdag 10 september</t>
  </si>
  <si>
    <t>Donderdag 11 september</t>
  </si>
  <si>
    <t>Vrijdag 12 september</t>
  </si>
  <si>
    <t>Week 38</t>
  </si>
  <si>
    <t>Maandag 15 september</t>
  </si>
  <si>
    <t>Dinsdag 16 september</t>
  </si>
  <si>
    <t>Woensdag 17 september</t>
  </si>
  <si>
    <t>Donderdag 18 september</t>
  </si>
  <si>
    <t>Vrijdag 19 september</t>
  </si>
  <si>
    <t>Week 39</t>
  </si>
  <si>
    <t>Maandag 22 september</t>
  </si>
  <si>
    <t>Dinsdag 23 september</t>
  </si>
  <si>
    <t>Woensdag 24 september</t>
  </si>
  <si>
    <t>Donderdag 25 september</t>
  </si>
  <si>
    <t>Vrijdag 26 september</t>
  </si>
  <si>
    <t>Week 40</t>
  </si>
  <si>
    <t>Maandag 29 september</t>
  </si>
  <si>
    <t>Dinsdag 30 september</t>
  </si>
  <si>
    <t>Totaal aantal uren september</t>
  </si>
  <si>
    <t>Gewerkte uren Mark</t>
  </si>
  <si>
    <t>PO nummer</t>
  </si>
  <si>
    <t>2026-XX</t>
  </si>
  <si>
    <t>1-12-2025 / 31-12-2025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</si>
</sst>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 &quot;€&quot;\ * #,##0.00_ ;_ &quot;€&quot;\ * \-#,##0.00_ ;_ &quot;€&quot;\ * &quot;-&quot;??_ ;_ @_ "/>
  </numFmts>
  <fonts count="10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7"/>
      <color rgb="FF000000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48"/>
      <color theme="1"/>
      <name val="Calibri"/>
      <family val="2"/>
      <scheme val="minor"/>
    </font>
    <font>
      <sz val="48"/>
      <color theme="1"/>
      <name val="Cambria"/>
      <family val="1"/>
      <scheme val="maj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9">
    <xf numFmtId="0" fontId="0" fillId="0" borderId="0" xfId="0"/>
    <xf numFmtId="0" fontId="3" fillId="0" borderId="0" xfId="0" applyFont="1"/>
    <xf numFmtId="0" fontId="5" fillId="0" borderId="0" xfId="0" applyFont="1"/>
    <xf numFmtId="14" fontId="2" fillId="0" borderId="0" xfId="0" applyNumberFormat="1" applyFont="1" applyAlignment="1">
      <alignment horizontal="left"/>
    </xf>
    <xf numFmtId="0" fontId="8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3" fillId="0" borderId="0" xfId="0" applyFont="1" applyAlignment="1">
      <alignment vertical="center" wrapText="1"/>
    </xf>
    <xf numFmtId="44" fontId="3" fillId="0" borderId="0" xfId="0" applyNumberFormat="1" applyFont="1" applyAlignment="1">
      <alignment horizontal="center" vertical="center"/>
    </xf>
    <xf numFmtId="9" fontId="3" fillId="0" borderId="0" xfId="0" applyNumberFormat="1" applyFont="1" applyAlignment="1">
      <alignment horizontal="center" vertical="center"/>
    </xf>
    <xf numFmtId="14" fontId="3" fillId="0" borderId="0" xfId="0" applyNumberFormat="1" applyFont="1" applyAlignment="1">
      <alignment horizontal="left" vertical="center" wrapText="1"/>
    </xf>
    <xf numFmtId="0" fontId="0" fillId="0" borderId="0" xfId="0" applyAlignment="1">
      <alignment horizontal="center"/>
    </xf>
    <xf numFmtId="0" fontId="0" fillId="0" borderId="3" xfId="0" applyBorder="1"/>
    <xf numFmtId="0" fontId="9" fillId="0" borderId="4" xfId="0" applyFont="1" applyBorder="1"/>
    <xf numFmtId="0" fontId="0" fillId="0" borderId="5" xfId="0" applyBorder="1"/>
    <xf numFmtId="14" fontId="0" fillId="0" borderId="4" xfId="0" applyNumberFormat="1" applyBorder="1" applyAlignment="1">
      <alignment horizontal="left"/>
    </xf>
    <xf numFmtId="14" fontId="9" fillId="0" borderId="5" xfId="0" applyNumberFormat="1" applyFont="1" applyBorder="1" applyAlignment="1">
      <alignment horizontal="left"/>
    </xf>
    <xf numFmtId="0" fontId="0" fillId="0" borderId="4" xfId="0" applyBorder="1"/>
    <xf numFmtId="0" fontId="0" fillId="0" borderId="6" xfId="0" applyBorder="1"/>
    <xf numFmtId="0" fontId="3" fillId="0" borderId="0" xfId="0" applyFont="1" applyAlignment="1">
      <alignment vertical="center"/>
    </xf>
    <xf numFmtId="0" fontId="3" fillId="0" borderId="0" xfId="0" applyFont="1" applyAlignment="1">
      <alignment horizontal="right" vertical="center"/>
    </xf>
    <xf numFmtId="0" fontId="2" fillId="0" borderId="0" xfId="0" applyFont="1" applyAlignment="1">
      <alignment vertical="center"/>
    </xf>
    <xf numFmtId="0" fontId="0" fillId="0" borderId="0" xfId="0" applyAlignment="1">
      <alignment horizontal="right" vertical="center"/>
    </xf>
    <xf numFmtId="0" fontId="4" fillId="0" borderId="0" xfId="0" applyFont="1" applyAlignment="1">
      <alignment vertical="center"/>
    </xf>
    <xf numFmtId="0" fontId="1" fillId="0" borderId="0" xfId="1" applyAlignment="1">
      <alignment vertical="center"/>
    </xf>
    <xf numFmtId="0" fontId="6" fillId="2" borderId="0" xfId="0" applyFont="1" applyFill="1" applyAlignment="1">
      <alignment vertical="center"/>
    </xf>
    <xf numFmtId="0" fontId="2" fillId="2" borderId="0" xfId="0" applyFont="1" applyFill="1" applyAlignment="1">
      <alignment vertical="center"/>
    </xf>
    <xf numFmtId="14" fontId="2" fillId="2" borderId="0" xfId="0" applyNumberFormat="1" applyFont="1" applyFill="1" applyAlignment="1">
      <alignment horizontal="left" vertical="center"/>
    </xf>
    <xf numFmtId="14" fontId="2" fillId="0" borderId="0" xfId="0" applyNumberFormat="1" applyFont="1" applyAlignment="1">
      <alignment horizontal="left" vertical="center"/>
    </xf>
    <xf numFmtId="1" fontId="2" fillId="0" borderId="0" xfId="0" applyNumberFormat="1" applyFont="1" applyAlignment="1">
      <alignment horizontal="left" vertical="center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center" vertical="center"/>
    </xf>
    <xf numFmtId="9" fontId="3" fillId="0" borderId="1" xfId="0" applyNumberFormat="1" applyFont="1" applyBorder="1" applyAlignment="1">
      <alignment horizontal="center" vertical="center"/>
    </xf>
    <xf numFmtId="44" fontId="3" fillId="0" borderId="1" xfId="0" applyNumberFormat="1" applyFont="1" applyBorder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9" fillId="0" borderId="2" xfId="0" applyFont="1" applyBorder="1" applyAlignment="1">
      <alignment horizontal="center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3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44" fontId="2" fillId="0" borderId="0" xfId="0" applyNumberFormat="1" applyFont="1" applyAlignment="1">
      <alignment horizontal="center" vertical="center"/>
    </xf>
    <xf numFmtId="44" fontId="2" fillId="0" borderId="1" xfId="0" applyNumberFormat="1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" fillId="0" borderId="0" xfId="1" applyAlignment="1">
      <alignment horizontal="left" vertical="center"/>
    </xf>
    <xf numFmtId="0" fontId="9" fillId="0" borderId="2" xfId="0" applyFont="1" applyBorder="1" applyAlignment="1">
      <alignment horizontal="center"/>
    </xf>
    <xf numFmtId="0" fontId="9" fillId="0" borderId="7" xfId="0" applyFont="1" applyBorder="1" applyAlignment="1">
      <alignment horizontal="center"/>
    </xf>
    <xf numFmtId="0" fontId="9" fillId="0" borderId="3" xfId="0" applyFont="1" applyBorder="1" applyAlignment="1">
      <alignment horizontal="center"/>
    </xf>
  </cellXfs>
  <cellStyles count="2">
    <cellStyle name="Hyperlink" xfId="1" builtinId="8"/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2505075</xdr:colOff>
      <xdr:row>12</xdr:row>
      <xdr:rowOff>191054</xdr:rowOff>
    </xdr:to>
    <xdr:pic>
      <xdr:nvPicPr>
        <xdr:cNvPr id="3" name="Afbeelding 2">
          <a:extLst>
            <a:ext uri="{FF2B5EF4-FFF2-40B4-BE49-F238E27FC236}">
              <a16:creationId xmlns:a16="http://schemas.microsoft.com/office/drawing/2014/main" id="{500ABF31-7B5D-41ED-2233-D1B4683D8C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3371850" cy="259135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invoices.rotterdam@vanoord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62"/>
  <sheetViews>
    <sheetView tabSelected="1" topLeftCell="A11" zoomScaleNormal="100" workbookViewId="0">
      <selection activeCell="E36" sqref="E36"/>
    </sheetView>
  </sheetViews>
  <sheetFormatPr defaultColWidth="9.1328125" defaultRowHeight="15.75" x14ac:dyDescent="0.5"/>
  <cols>
    <col min="1" max="1" width="12" style="1" customWidth="1"/>
    <col min="2" max="2" width="46" style="1" customWidth="1"/>
    <col min="3" max="3" width="13.73046875" style="1" bestFit="1" customWidth="1"/>
    <col min="4" max="4" width="10.1328125" style="1" customWidth="1"/>
    <col min="5" max="6" width="13" style="1" bestFit="1" customWidth="1"/>
    <col min="7" max="7" width="10.1328125" style="1" customWidth="1"/>
    <col min="8" max="9" width="9.1328125" style="1"/>
    <col min="10" max="10" width="9" style="1" bestFit="1" customWidth="1"/>
    <col min="11" max="16384" width="9.1328125" style="1"/>
  </cols>
  <sheetData>
    <row r="1" spans="1:10" ht="15.75" customHeight="1" x14ac:dyDescent="0.5">
      <c r="A1" s="4"/>
      <c r="B1" s="5"/>
      <c r="C1" s="18"/>
      <c r="D1" s="18"/>
      <c r="E1" s="18"/>
      <c r="F1" s="18"/>
      <c r="G1" s="18"/>
    </row>
    <row r="2" spans="1:10" ht="15.75" customHeight="1" x14ac:dyDescent="0.5">
      <c r="A2" s="5"/>
      <c r="B2" s="5"/>
      <c r="C2" s="18"/>
      <c r="D2" s="18"/>
      <c r="E2" s="18"/>
      <c r="F2" s="18"/>
      <c r="G2" s="18"/>
    </row>
    <row r="3" spans="1:10" ht="15.75" customHeight="1" x14ac:dyDescent="0.5">
      <c r="A3" s="5"/>
      <c r="B3" s="5"/>
      <c r="C3" s="18"/>
      <c r="D3" s="18"/>
      <c r="E3" s="18"/>
      <c r="F3" s="18"/>
      <c r="G3" s="18"/>
    </row>
    <row r="4" spans="1:10" ht="15.75" customHeight="1" x14ac:dyDescent="0.5">
      <c r="A4" s="5"/>
      <c r="B4" s="5"/>
      <c r="C4" s="18"/>
      <c r="D4" s="33" t="s">
        <v>0</v>
      </c>
      <c r="E4" s="33"/>
      <c r="F4" s="33"/>
      <c r="G4" s="18"/>
    </row>
    <row r="5" spans="1:10" ht="15.75" customHeight="1" x14ac:dyDescent="0.5">
      <c r="A5" s="5"/>
      <c r="B5" s="5"/>
      <c r="C5" s="18"/>
      <c r="D5" s="33" t="s">
        <v>1</v>
      </c>
      <c r="E5" s="33"/>
      <c r="F5" s="33"/>
      <c r="G5" s="18"/>
    </row>
    <row r="6" spans="1:10" ht="15.75" customHeight="1" x14ac:dyDescent="0.5">
      <c r="A6" s="5"/>
      <c r="B6" s="5"/>
      <c r="C6" s="18"/>
      <c r="D6" s="33" t="s">
        <v>2</v>
      </c>
      <c r="E6" s="33"/>
      <c r="F6" s="33"/>
      <c r="G6" s="18"/>
    </row>
    <row r="7" spans="1:10" ht="15.75" customHeight="1" x14ac:dyDescent="0.5">
      <c r="A7" s="5"/>
      <c r="B7" s="5"/>
      <c r="C7" s="18"/>
      <c r="D7" s="19"/>
      <c r="E7" s="19"/>
      <c r="F7" s="19"/>
      <c r="G7" s="18"/>
    </row>
    <row r="8" spans="1:10" ht="15.75" customHeight="1" x14ac:dyDescent="0.5">
      <c r="A8" s="5"/>
      <c r="B8" s="5"/>
      <c r="C8" s="18"/>
      <c r="D8" s="33" t="s">
        <v>3</v>
      </c>
      <c r="E8" s="33"/>
      <c r="F8" s="33"/>
      <c r="G8" s="18"/>
    </row>
    <row r="9" spans="1:10" x14ac:dyDescent="0.5">
      <c r="A9" s="18"/>
      <c r="B9" s="18"/>
      <c r="C9" s="18"/>
      <c r="D9" s="33" t="s">
        <v>4</v>
      </c>
      <c r="E9" s="33"/>
      <c r="F9" s="33"/>
      <c r="G9" s="18"/>
      <c r="H9" s="2"/>
      <c r="I9" s="2"/>
      <c r="J9"/>
    </row>
    <row r="10" spans="1:10" x14ac:dyDescent="0.5">
      <c r="A10" s="20"/>
      <c r="B10" s="20"/>
      <c r="C10" s="18"/>
      <c r="D10" s="19"/>
      <c r="E10" s="21"/>
      <c r="F10" s="19"/>
      <c r="G10" s="18"/>
      <c r="H10" s="2"/>
      <c r="I10" s="2"/>
      <c r="J10" s="2"/>
    </row>
    <row r="11" spans="1:10" x14ac:dyDescent="0.5">
      <c r="A11" s="18"/>
      <c r="B11" s="18"/>
      <c r="C11" s="18"/>
      <c r="D11" s="33" t="s">
        <v>5</v>
      </c>
      <c r="E11" s="33"/>
      <c r="F11" s="33"/>
      <c r="G11" s="18"/>
      <c r="H11"/>
      <c r="J11" s="2"/>
    </row>
    <row r="12" spans="1:10" x14ac:dyDescent="0.5">
      <c r="A12" s="18"/>
      <c r="B12" s="18"/>
      <c r="C12" s="18"/>
      <c r="D12" s="33" t="s">
        <v>6</v>
      </c>
      <c r="E12" s="33"/>
      <c r="F12" s="33"/>
      <c r="G12" s="18"/>
      <c r="H12"/>
      <c r="I12"/>
      <c r="J12"/>
    </row>
    <row r="13" spans="1:10" x14ac:dyDescent="0.5">
      <c r="A13" s="22"/>
      <c r="B13" s="22"/>
      <c r="C13" s="18"/>
      <c r="D13" s="19"/>
      <c r="E13" s="21"/>
      <c r="F13" s="19"/>
      <c r="G13" s="18"/>
      <c r="H13"/>
      <c r="I13"/>
      <c r="J13"/>
    </row>
    <row r="14" spans="1:10" x14ac:dyDescent="0.5">
      <c r="A14" s="23"/>
      <c r="B14" s="23"/>
      <c r="C14" s="18"/>
      <c r="D14" s="33" t="s">
        <v>7</v>
      </c>
      <c r="E14" s="33"/>
      <c r="F14" s="33"/>
      <c r="G14" s="18"/>
    </row>
    <row r="15" spans="1:10" x14ac:dyDescent="0.5">
      <c r="A15" s="38" t="s">
        <v>8</v>
      </c>
      <c r="B15" s="38"/>
      <c r="C15" s="18"/>
      <c r="D15" s="33" t="s">
        <v>9</v>
      </c>
      <c r="E15" s="33"/>
      <c r="F15" s="33"/>
      <c r="G15" s="18"/>
      <c r="H15" s="3"/>
    </row>
    <row r="16" spans="1:10" x14ac:dyDescent="0.5">
      <c r="A16" s="37" t="s">
        <v>10</v>
      </c>
      <c r="B16" s="37"/>
      <c r="C16" s="18"/>
      <c r="D16" s="18"/>
      <c r="E16" s="18"/>
      <c r="F16" s="18"/>
      <c r="G16" s="18"/>
      <c r="H16" s="3"/>
    </row>
    <row r="17" spans="1:10" x14ac:dyDescent="0.5">
      <c r="A17" s="45" t="s">
        <v>11</v>
      </c>
      <c r="B17" s="45"/>
      <c r="C17" s="18"/>
      <c r="D17" s="18"/>
      <c r="E17" s="18"/>
      <c r="F17" s="18"/>
      <c r="G17" s="18"/>
      <c r="H17" s="3"/>
    </row>
    <row r="18" spans="1:10" x14ac:dyDescent="0.5">
      <c r="A18" s="37" t="s">
        <v>12</v>
      </c>
      <c r="B18" s="37"/>
      <c r="C18" s="18"/>
      <c r="D18" s="18"/>
      <c r="E18" s="18"/>
      <c r="F18" s="18"/>
      <c r="G18" s="18"/>
      <c r="H18" s="3"/>
    </row>
    <row r="19" spans="1:10" x14ac:dyDescent="0.5">
      <c r="A19" s="37" t="s">
        <v>13</v>
      </c>
      <c r="B19" s="37"/>
      <c r="C19" s="18"/>
      <c r="D19" s="18"/>
      <c r="E19" s="18"/>
      <c r="F19" s="18"/>
      <c r="G19" s="18"/>
      <c r="H19" s="3"/>
    </row>
    <row r="20" spans="1:10" x14ac:dyDescent="0.5">
      <c r="A20" s="18"/>
      <c r="B20" s="18"/>
      <c r="C20" s="18"/>
      <c r="D20" s="18"/>
      <c r="E20" s="18"/>
      <c r="F20" s="18"/>
      <c r="G20" s="18"/>
      <c r="H20" s="3"/>
    </row>
    <row r="21" spans="1:10" ht="23.25" x14ac:dyDescent="0.5">
      <c r="A21" s="24" t="s">
        <v>14</v>
      </c>
      <c r="B21" s="25"/>
      <c r="C21" s="20"/>
      <c r="D21" s="20"/>
      <c r="E21" s="18"/>
      <c r="F21" s="18"/>
      <c r="G21" s="18"/>
      <c r="H21" s="3"/>
    </row>
    <row r="22" spans="1:10" x14ac:dyDescent="0.5">
      <c r="A22" s="18"/>
      <c r="B22" s="18"/>
      <c r="C22" s="18"/>
      <c r="D22" s="18"/>
      <c r="E22" s="18"/>
      <c r="F22" s="18"/>
      <c r="G22" s="18"/>
      <c r="H22" s="3"/>
    </row>
    <row r="23" spans="1:10" x14ac:dyDescent="0.5">
      <c r="A23" s="18"/>
      <c r="B23" s="18"/>
      <c r="C23" s="18"/>
      <c r="D23" s="18"/>
      <c r="E23" s="18"/>
      <c r="F23" s="18"/>
      <c r="G23" s="18"/>
    </row>
    <row r="24" spans="1:10" x14ac:dyDescent="0.5">
      <c r="A24" s="20" t="s">
        <v>15</v>
      </c>
      <c r="B24" s="18"/>
      <c r="C24" s="26" t="s">
        <v>71</v>
      </c>
      <c r="D24" s="18"/>
      <c r="E24" s="18"/>
      <c r="F24" s="18"/>
      <c r="G24" s="18"/>
    </row>
    <row r="25" spans="1:10" x14ac:dyDescent="0.5">
      <c r="A25" s="20" t="s">
        <v>16</v>
      </c>
      <c r="B25" s="18"/>
      <c r="C25" s="27">
        <v>46023</v>
      </c>
      <c r="D25" s="18"/>
      <c r="E25" s="18"/>
      <c r="F25" s="18"/>
      <c r="G25" s="18"/>
    </row>
    <row r="26" spans="1:10" x14ac:dyDescent="0.5">
      <c r="A26" s="20" t="s">
        <v>17</v>
      </c>
      <c r="B26" s="18"/>
      <c r="C26" s="27">
        <f>C25+30</f>
        <v>46053</v>
      </c>
      <c r="D26" s="18"/>
      <c r="E26" s="18"/>
      <c r="F26" s="18"/>
      <c r="G26" s="18"/>
    </row>
    <row r="27" spans="1:10" x14ac:dyDescent="0.5">
      <c r="A27" s="20"/>
      <c r="B27" s="18"/>
      <c r="C27" s="27"/>
      <c r="D27" s="18"/>
      <c r="E27" s="18"/>
      <c r="F27" s="18"/>
      <c r="G27" s="18"/>
    </row>
    <row r="28" spans="1:10" x14ac:dyDescent="0.5">
      <c r="A28" s="20" t="s">
        <v>18</v>
      </c>
      <c r="B28" s="18"/>
      <c r="C28" s="27" t="s">
        <v>19</v>
      </c>
      <c r="D28" s="18"/>
      <c r="E28" s="18"/>
      <c r="F28" s="18"/>
      <c r="G28" s="18"/>
    </row>
    <row r="29" spans="1:10" x14ac:dyDescent="0.5">
      <c r="A29" s="20" t="s">
        <v>20</v>
      </c>
      <c r="B29" s="18"/>
      <c r="C29" s="28">
        <v>155305</v>
      </c>
      <c r="D29" s="18"/>
      <c r="E29" s="18"/>
      <c r="F29" s="18"/>
      <c r="G29" s="18"/>
      <c r="J29" s="7"/>
    </row>
    <row r="30" spans="1:10" x14ac:dyDescent="0.5">
      <c r="A30" s="20" t="s">
        <v>21</v>
      </c>
      <c r="B30" s="18"/>
      <c r="C30" s="27" t="s">
        <v>22</v>
      </c>
      <c r="D30" s="18"/>
      <c r="E30" s="18"/>
      <c r="F30" s="18"/>
      <c r="G30" s="18"/>
    </row>
    <row r="31" spans="1:10" x14ac:dyDescent="0.5">
      <c r="A31" s="20" t="s">
        <v>70</v>
      </c>
      <c r="B31" s="18"/>
      <c r="C31" s="26"/>
      <c r="D31" s="18"/>
      <c r="E31" s="18"/>
      <c r="F31" s="18"/>
      <c r="G31" s="18"/>
    </row>
    <row r="32" spans="1:10" x14ac:dyDescent="0.5">
      <c r="A32" s="20" t="s">
        <v>23</v>
      </c>
      <c r="B32" s="18"/>
      <c r="C32" s="28" t="s">
        <v>24</v>
      </c>
      <c r="D32" s="18"/>
      <c r="E32" s="18"/>
      <c r="F32" s="18"/>
      <c r="G32" s="18"/>
      <c r="J32" s="7"/>
    </row>
    <row r="33" spans="1:10" x14ac:dyDescent="0.5">
      <c r="A33" s="20" t="s">
        <v>25</v>
      </c>
      <c r="B33" s="18"/>
      <c r="C33" s="28" t="s">
        <v>26</v>
      </c>
      <c r="D33" s="18"/>
      <c r="E33" s="18"/>
      <c r="F33" s="18"/>
      <c r="G33" s="18"/>
      <c r="J33" s="7"/>
    </row>
    <row r="34" spans="1:10" ht="16.149999999999999" thickBot="1" x14ac:dyDescent="0.55000000000000004">
      <c r="A34" s="29"/>
      <c r="B34" s="29"/>
      <c r="C34" s="29"/>
      <c r="D34" s="29"/>
      <c r="E34" s="29"/>
      <c r="F34" s="29"/>
      <c r="G34" s="29"/>
    </row>
    <row r="35" spans="1:10" ht="16.149999999999999" thickBot="1" x14ac:dyDescent="0.55000000000000004">
      <c r="A35" s="29" t="s">
        <v>27</v>
      </c>
      <c r="B35" s="29" t="s">
        <v>28</v>
      </c>
      <c r="C35" s="30" t="s">
        <v>29</v>
      </c>
      <c r="D35" s="30" t="s">
        <v>30</v>
      </c>
      <c r="E35" s="30" t="s">
        <v>31</v>
      </c>
      <c r="F35" s="30" t="s">
        <v>32</v>
      </c>
      <c r="G35" s="30" t="s">
        <v>33</v>
      </c>
    </row>
    <row r="36" spans="1:10" ht="31.15" customHeight="1" x14ac:dyDescent="0.5">
      <c r="A36" s="9" t="s">
        <v>72</v>
      </c>
      <c r="B36" s="6" t="s">
        <v>34</v>
      </c>
      <c r="C36" s="35">
        <v>176</v>
      </c>
      <c r="D36" s="35" t="s">
        <v>35</v>
      </c>
      <c r="E36" s="7">
        <v>90</v>
      </c>
      <c r="F36" s="7">
        <f>E36*C36</f>
        <v>15840</v>
      </c>
      <c r="G36" s="8">
        <v>0.21</v>
      </c>
    </row>
    <row r="37" spans="1:10" ht="31.15" customHeight="1" x14ac:dyDescent="0.5">
      <c r="A37" s="9" t="s">
        <v>72</v>
      </c>
      <c r="B37" s="6" t="s">
        <v>36</v>
      </c>
      <c r="C37" s="35">
        <v>170</v>
      </c>
      <c r="D37" s="35" t="s">
        <v>35</v>
      </c>
      <c r="E37" s="7">
        <v>100</v>
      </c>
      <c r="F37" s="7">
        <f>E37*C37</f>
        <v>17000</v>
      </c>
      <c r="G37" s="8">
        <v>0.21</v>
      </c>
    </row>
    <row r="38" spans="1:10" x14ac:dyDescent="0.5">
      <c r="A38" s="18"/>
      <c r="B38" s="18"/>
      <c r="C38" s="35"/>
      <c r="D38" s="35"/>
      <c r="E38" s="7"/>
      <c r="F38" s="7"/>
      <c r="G38" s="8"/>
    </row>
    <row r="39" spans="1:10" x14ac:dyDescent="0.5">
      <c r="A39" s="18"/>
      <c r="B39" s="18"/>
      <c r="C39" s="35"/>
      <c r="D39" s="35"/>
      <c r="E39" s="7"/>
      <c r="F39" s="7"/>
      <c r="G39" s="8"/>
    </row>
    <row r="40" spans="1:10" x14ac:dyDescent="0.5">
      <c r="A40" s="18"/>
      <c r="B40" s="18"/>
      <c r="C40" s="18"/>
      <c r="D40" s="18"/>
      <c r="E40" s="18"/>
      <c r="F40" s="18"/>
      <c r="G40" s="18"/>
    </row>
    <row r="41" spans="1:10" x14ac:dyDescent="0.5">
      <c r="A41" s="18"/>
      <c r="B41" s="18"/>
      <c r="C41" s="18"/>
      <c r="D41" s="18"/>
      <c r="E41" s="18"/>
      <c r="F41" s="18"/>
      <c r="G41" s="18"/>
    </row>
    <row r="42" spans="1:10" x14ac:dyDescent="0.5">
      <c r="A42" s="18"/>
      <c r="B42" s="18"/>
      <c r="C42" s="18"/>
      <c r="D42" s="18"/>
      <c r="E42" s="18"/>
      <c r="F42" s="18"/>
      <c r="G42" s="18"/>
    </row>
    <row r="43" spans="1:10" x14ac:dyDescent="0.5">
      <c r="A43" s="18"/>
      <c r="B43" s="18"/>
      <c r="C43" s="18"/>
      <c r="D43" s="18"/>
      <c r="E43" s="18"/>
      <c r="F43" s="18"/>
      <c r="G43" s="18"/>
    </row>
    <row r="44" spans="1:10" x14ac:dyDescent="0.5">
      <c r="A44" s="18"/>
      <c r="B44" s="18"/>
      <c r="C44" s="18"/>
      <c r="D44" s="18"/>
      <c r="E44" s="18"/>
      <c r="F44" s="18"/>
      <c r="G44" s="18"/>
    </row>
    <row r="45" spans="1:10" ht="16.149999999999999" thickBot="1" x14ac:dyDescent="0.55000000000000004">
      <c r="A45" s="29"/>
      <c r="B45" s="29"/>
      <c r="C45" s="29"/>
      <c r="D45" s="29"/>
      <c r="E45" s="29"/>
      <c r="F45" s="29"/>
      <c r="G45" s="29"/>
      <c r="J45" s="7"/>
    </row>
    <row r="46" spans="1:10" x14ac:dyDescent="0.5">
      <c r="A46" s="18"/>
      <c r="B46" s="18"/>
      <c r="C46" s="18"/>
      <c r="D46" s="18"/>
      <c r="E46" s="18"/>
      <c r="F46" s="18"/>
      <c r="G46" s="18"/>
    </row>
    <row r="47" spans="1:10" ht="16.149999999999999" thickBot="1" x14ac:dyDescent="0.55000000000000004">
      <c r="A47" s="18"/>
      <c r="B47" s="18"/>
      <c r="C47" s="29"/>
      <c r="D47" s="29"/>
      <c r="E47" s="29"/>
      <c r="F47" s="29"/>
      <c r="G47" s="18"/>
    </row>
    <row r="48" spans="1:10" x14ac:dyDescent="0.5">
      <c r="A48" s="18"/>
      <c r="B48" s="18"/>
      <c r="C48" s="40" t="s">
        <v>37</v>
      </c>
      <c r="D48" s="40"/>
      <c r="E48" s="40"/>
      <c r="F48" s="42">
        <f>SUM(F36:F45)</f>
        <v>32840</v>
      </c>
      <c r="G48" s="18"/>
    </row>
    <row r="49" spans="1:7" ht="16.149999999999999" thickBot="1" x14ac:dyDescent="0.55000000000000004">
      <c r="A49" s="18"/>
      <c r="B49" s="18"/>
      <c r="C49" s="41"/>
      <c r="D49" s="41"/>
      <c r="E49" s="41"/>
      <c r="F49" s="43"/>
      <c r="G49" s="18"/>
    </row>
    <row r="50" spans="1:7" x14ac:dyDescent="0.5">
      <c r="A50" s="18"/>
      <c r="B50" s="18"/>
      <c r="C50" s="18"/>
      <c r="D50" s="18"/>
      <c r="E50" s="18"/>
      <c r="F50" s="18"/>
      <c r="G50" s="18"/>
    </row>
    <row r="51" spans="1:7" x14ac:dyDescent="0.5">
      <c r="A51" s="18"/>
      <c r="B51" s="18"/>
      <c r="C51" s="18"/>
      <c r="D51" s="35" t="s">
        <v>33</v>
      </c>
      <c r="E51" s="35" t="s">
        <v>38</v>
      </c>
      <c r="F51" s="35"/>
      <c r="G51" s="18"/>
    </row>
    <row r="52" spans="1:7" x14ac:dyDescent="0.5">
      <c r="A52" s="18"/>
      <c r="B52" s="18"/>
      <c r="C52" s="18"/>
      <c r="D52" s="8">
        <v>0</v>
      </c>
      <c r="E52" s="7">
        <v>0</v>
      </c>
      <c r="F52" s="7">
        <v>0</v>
      </c>
      <c r="G52" s="18"/>
    </row>
    <row r="53" spans="1:7" x14ac:dyDescent="0.5">
      <c r="A53" s="18"/>
      <c r="B53" s="18"/>
      <c r="C53" s="18"/>
      <c r="D53" s="8">
        <v>0.09</v>
      </c>
      <c r="E53" s="7">
        <v>0</v>
      </c>
      <c r="F53" s="7">
        <v>0</v>
      </c>
      <c r="G53" s="18"/>
    </row>
    <row r="54" spans="1:7" x14ac:dyDescent="0.5">
      <c r="A54" s="18"/>
      <c r="B54" s="18"/>
      <c r="C54" s="18"/>
      <c r="D54" s="8">
        <v>0.21</v>
      </c>
      <c r="E54" s="7">
        <f>F36+F37</f>
        <v>32840</v>
      </c>
      <c r="F54" s="7">
        <f>E54*0.21</f>
        <v>6896.4</v>
      </c>
      <c r="G54" s="18"/>
    </row>
    <row r="55" spans="1:7" ht="16.149999999999999" thickBot="1" x14ac:dyDescent="0.55000000000000004">
      <c r="A55" s="18"/>
      <c r="B55" s="18"/>
      <c r="C55" s="29"/>
      <c r="D55" s="31"/>
      <c r="E55" s="32"/>
      <c r="F55" s="32"/>
      <c r="G55" s="18"/>
    </row>
    <row r="56" spans="1:7" x14ac:dyDescent="0.5">
      <c r="A56" s="18"/>
      <c r="B56" s="18"/>
      <c r="C56" s="40" t="s">
        <v>39</v>
      </c>
      <c r="D56" s="40"/>
      <c r="E56" s="40"/>
      <c r="F56" s="42">
        <f>F48+SUM(F52:F54)</f>
        <v>39736.400000000001</v>
      </c>
      <c r="G56" s="18"/>
    </row>
    <row r="57" spans="1:7" ht="16.149999999999999" thickBot="1" x14ac:dyDescent="0.55000000000000004">
      <c r="A57" s="18"/>
      <c r="B57" s="18"/>
      <c r="C57" s="41"/>
      <c r="D57" s="41"/>
      <c r="E57" s="41"/>
      <c r="F57" s="41"/>
      <c r="G57" s="18"/>
    </row>
    <row r="58" spans="1:7" x14ac:dyDescent="0.5">
      <c r="A58" s="18"/>
      <c r="B58" s="18"/>
      <c r="C58" s="34"/>
      <c r="D58" s="34"/>
      <c r="E58" s="34"/>
      <c r="F58" s="34"/>
      <c r="G58" s="18"/>
    </row>
    <row r="59" spans="1:7" x14ac:dyDescent="0.5">
      <c r="A59" s="18"/>
      <c r="B59" s="18"/>
      <c r="C59" s="18"/>
      <c r="D59" s="18"/>
      <c r="E59" s="18"/>
      <c r="F59" s="18"/>
      <c r="G59" s="18"/>
    </row>
    <row r="60" spans="1:7" x14ac:dyDescent="0.5">
      <c r="A60" s="44" t="str">
        <f>CONCATENATE("U wordt vriendelijk verzocht het bedrag van"," ",DOLLAR(F56)," ","vóór"," ",TEXT(C26,"dd-mm-jjjj")," over te maken op:")</f>
        <v>U wordt vriendelijk verzocht het bedrag van € 39.736,40 vóór 31-01-2026 over te maken op:</v>
      </c>
      <c r="B60" s="44"/>
      <c r="C60" s="44"/>
      <c r="D60" s="44"/>
      <c r="E60" s="44"/>
      <c r="F60" s="44"/>
      <c r="G60" s="44"/>
    </row>
    <row r="61" spans="1:7" ht="15.75" customHeight="1" x14ac:dyDescent="0.5">
      <c r="A61" s="39" t="str">
        <f>CONCATENATE("IBAN: NL61 BUNQ 2113 3747 30 t.n.v. Kuijpers Technical Services BV onder vermelding van het factuurnummer:"," ",C24)</f>
        <v>IBAN: NL61 BUNQ 2113 3747 30 t.n.v. Kuijpers Technical Services BV onder vermelding van het factuurnummer: 2026-XX</v>
      </c>
      <c r="B61" s="39"/>
      <c r="C61" s="39"/>
      <c r="D61" s="39"/>
      <c r="E61" s="39"/>
      <c r="F61" s="39"/>
      <c r="G61" s="39"/>
    </row>
    <row r="62" spans="1:7" ht="15.75" customHeight="1" x14ac:dyDescent="0.5">
      <c r="A62" s="6"/>
      <c r="B62" s="6"/>
      <c r="C62" s="6"/>
      <c r="D62" s="6"/>
      <c r="E62" s="6"/>
      <c r="F62" s="6"/>
      <c r="G62" s="6"/>
    </row>
  </sheetData>
  <mergeCells count="11">
    <mergeCell ref="A18:B18"/>
    <mergeCell ref="A16:B16"/>
    <mergeCell ref="A15:B15"/>
    <mergeCell ref="A61:G61"/>
    <mergeCell ref="C48:E49"/>
    <mergeCell ref="F48:F49"/>
    <mergeCell ref="C56:E57"/>
    <mergeCell ref="F56:F57"/>
    <mergeCell ref="A60:G60"/>
    <mergeCell ref="A19:B19"/>
    <mergeCell ref="A17:B17"/>
  </mergeCells>
  <hyperlinks>
    <hyperlink ref="A17" r:id="rId1" xr:uid="{4D5A0263-DA89-4F9B-9AA6-82E61BDECE4A}"/>
  </hyperlinks>
  <pageMargins left="0.7" right="0.7" top="0.75" bottom="0.75" header="0.3" footer="0.3"/>
  <pageSetup paperSize="9" scale="77"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D940CB-6D4F-2A49-B8C6-7F720126118B}">
  <dimension ref="A1:C34"/>
  <sheetViews>
    <sheetView zoomScaleNormal="80" zoomScaleSheetLayoutView="100" workbookViewId="0">
      <selection activeCell="E28" sqref="E28"/>
    </sheetView>
  </sheetViews>
  <sheetFormatPr defaultRowHeight="14.25" x14ac:dyDescent="0.45"/>
  <cols>
    <col min="1" max="1" width="34.3984375" bestFit="1" customWidth="1"/>
    <col min="2" max="2" width="9" style="10"/>
  </cols>
  <sheetData>
    <row r="1" spans="1:3" ht="14.65" thickBot="1" x14ac:dyDescent="0.5">
      <c r="A1" s="46" t="s">
        <v>40</v>
      </c>
      <c r="B1" s="47"/>
      <c r="C1" s="48"/>
    </row>
    <row r="2" spans="1:3" x14ac:dyDescent="0.45">
      <c r="A2" s="12" t="s">
        <v>41</v>
      </c>
      <c r="C2" s="13"/>
    </row>
    <row r="3" spans="1:3" x14ac:dyDescent="0.45">
      <c r="A3" s="14" t="s">
        <v>42</v>
      </c>
      <c r="B3" s="10">
        <v>8</v>
      </c>
      <c r="C3" s="13" t="s">
        <v>35</v>
      </c>
    </row>
    <row r="4" spans="1:3" x14ac:dyDescent="0.45">
      <c r="A4" s="14" t="s">
        <v>43</v>
      </c>
      <c r="B4" s="10">
        <v>8</v>
      </c>
      <c r="C4" s="13" t="s">
        <v>35</v>
      </c>
    </row>
    <row r="5" spans="1:3" x14ac:dyDescent="0.45">
      <c r="A5" s="14" t="s">
        <v>44</v>
      </c>
      <c r="B5" s="10">
        <v>8</v>
      </c>
      <c r="C5" s="13" t="s">
        <v>35</v>
      </c>
    </row>
    <row r="6" spans="1:3" x14ac:dyDescent="0.45">
      <c r="A6" s="14" t="s">
        <v>45</v>
      </c>
      <c r="B6" s="10">
        <v>8</v>
      </c>
      <c r="C6" s="13" t="s">
        <v>35</v>
      </c>
    </row>
    <row r="7" spans="1:3" x14ac:dyDescent="0.45">
      <c r="A7" s="14" t="s">
        <v>46</v>
      </c>
      <c r="B7" s="10">
        <v>8</v>
      </c>
      <c r="C7" s="13" t="s">
        <v>35</v>
      </c>
    </row>
    <row r="8" spans="1:3" x14ac:dyDescent="0.45">
      <c r="A8" s="14"/>
      <c r="C8" s="15"/>
    </row>
    <row r="9" spans="1:3" x14ac:dyDescent="0.45">
      <c r="A9" s="12" t="s">
        <v>47</v>
      </c>
      <c r="C9" s="13"/>
    </row>
    <row r="10" spans="1:3" x14ac:dyDescent="0.45">
      <c r="A10" s="14" t="s">
        <v>48</v>
      </c>
      <c r="B10" s="10">
        <v>8</v>
      </c>
      <c r="C10" s="13" t="s">
        <v>35</v>
      </c>
    </row>
    <row r="11" spans="1:3" x14ac:dyDescent="0.45">
      <c r="A11" s="14" t="s">
        <v>49</v>
      </c>
      <c r="B11" s="10">
        <v>8</v>
      </c>
      <c r="C11" s="13" t="s">
        <v>35</v>
      </c>
    </row>
    <row r="12" spans="1:3" x14ac:dyDescent="0.45">
      <c r="A12" s="14" t="s">
        <v>50</v>
      </c>
      <c r="B12" s="10">
        <v>8</v>
      </c>
      <c r="C12" s="13" t="s">
        <v>35</v>
      </c>
    </row>
    <row r="13" spans="1:3" x14ac:dyDescent="0.45">
      <c r="A13" s="14" t="s">
        <v>51</v>
      </c>
      <c r="B13" s="10">
        <v>8</v>
      </c>
      <c r="C13" s="13" t="s">
        <v>35</v>
      </c>
    </row>
    <row r="14" spans="1:3" x14ac:dyDescent="0.45">
      <c r="A14" s="14" t="s">
        <v>52</v>
      </c>
      <c r="B14" s="10">
        <v>8</v>
      </c>
      <c r="C14" s="13" t="s">
        <v>35</v>
      </c>
    </row>
    <row r="15" spans="1:3" x14ac:dyDescent="0.45">
      <c r="A15" s="16"/>
      <c r="C15" s="13"/>
    </row>
    <row r="16" spans="1:3" x14ac:dyDescent="0.45">
      <c r="A16" s="12" t="s">
        <v>53</v>
      </c>
      <c r="C16" s="13"/>
    </row>
    <row r="17" spans="1:3" x14ac:dyDescent="0.45">
      <c r="A17" s="14" t="s">
        <v>54</v>
      </c>
      <c r="B17" s="10">
        <v>8</v>
      </c>
      <c r="C17" s="13" t="s">
        <v>35</v>
      </c>
    </row>
    <row r="18" spans="1:3" x14ac:dyDescent="0.45">
      <c r="A18" s="14" t="s">
        <v>55</v>
      </c>
      <c r="B18" s="10">
        <v>8</v>
      </c>
      <c r="C18" s="13" t="s">
        <v>35</v>
      </c>
    </row>
    <row r="19" spans="1:3" x14ac:dyDescent="0.45">
      <c r="A19" s="14" t="s">
        <v>56</v>
      </c>
      <c r="B19" s="10">
        <v>8</v>
      </c>
      <c r="C19" s="13" t="s">
        <v>35</v>
      </c>
    </row>
    <row r="20" spans="1:3" x14ac:dyDescent="0.45">
      <c r="A20" s="14" t="s">
        <v>57</v>
      </c>
      <c r="B20" s="10">
        <v>8</v>
      </c>
      <c r="C20" s="13" t="s">
        <v>35</v>
      </c>
    </row>
    <row r="21" spans="1:3" x14ac:dyDescent="0.45">
      <c r="A21" s="14" t="s">
        <v>58</v>
      </c>
      <c r="B21" s="10">
        <v>8</v>
      </c>
      <c r="C21" s="13" t="s">
        <v>35</v>
      </c>
    </row>
    <row r="22" spans="1:3" x14ac:dyDescent="0.45">
      <c r="A22" s="16"/>
      <c r="C22" s="13"/>
    </row>
    <row r="23" spans="1:3" x14ac:dyDescent="0.45">
      <c r="A23" s="12" t="s">
        <v>59</v>
      </c>
      <c r="C23" s="13"/>
    </row>
    <row r="24" spans="1:3" x14ac:dyDescent="0.45">
      <c r="A24" s="14" t="s">
        <v>60</v>
      </c>
      <c r="B24" s="10">
        <v>8</v>
      </c>
      <c r="C24" s="13" t="s">
        <v>35</v>
      </c>
    </row>
    <row r="25" spans="1:3" x14ac:dyDescent="0.45">
      <c r="A25" s="14" t="s">
        <v>61</v>
      </c>
      <c r="B25" s="10">
        <v>8</v>
      </c>
      <c r="C25" s="13" t="s">
        <v>35</v>
      </c>
    </row>
    <row r="26" spans="1:3" x14ac:dyDescent="0.45">
      <c r="A26" s="14" t="s">
        <v>62</v>
      </c>
      <c r="B26" s="10">
        <v>8</v>
      </c>
      <c r="C26" s="13" t="s">
        <v>35</v>
      </c>
    </row>
    <row r="27" spans="1:3" x14ac:dyDescent="0.45">
      <c r="A27" s="14" t="s">
        <v>63</v>
      </c>
      <c r="B27" s="10">
        <v>8</v>
      </c>
      <c r="C27" s="13" t="s">
        <v>35</v>
      </c>
    </row>
    <row r="28" spans="1:3" x14ac:dyDescent="0.45">
      <c r="A28" s="14" t="s">
        <v>64</v>
      </c>
      <c r="B28" s="10">
        <v>8</v>
      </c>
      <c r="C28" s="13" t="s">
        <v>35</v>
      </c>
    </row>
    <row r="29" spans="1:3" x14ac:dyDescent="0.45">
      <c r="A29" s="16"/>
      <c r="C29" s="13"/>
    </row>
    <row r="30" spans="1:3" x14ac:dyDescent="0.45">
      <c r="A30" s="12" t="s">
        <v>65</v>
      </c>
      <c r="C30" s="13"/>
    </row>
    <row r="31" spans="1:3" x14ac:dyDescent="0.45">
      <c r="A31" s="14" t="s">
        <v>66</v>
      </c>
      <c r="B31" s="10">
        <v>8</v>
      </c>
      <c r="C31" s="13" t="s">
        <v>35</v>
      </c>
    </row>
    <row r="32" spans="1:3" x14ac:dyDescent="0.45">
      <c r="A32" s="14" t="s">
        <v>67</v>
      </c>
      <c r="B32" s="10">
        <v>8</v>
      </c>
      <c r="C32" s="13" t="s">
        <v>35</v>
      </c>
    </row>
    <row r="33" spans="1:3" ht="14.65" thickBot="1" x14ac:dyDescent="0.5">
      <c r="A33" s="16"/>
      <c r="C33" s="13"/>
    </row>
    <row r="34" spans="1:3" ht="14.65" thickBot="1" x14ac:dyDescent="0.5">
      <c r="A34" s="17" t="s">
        <v>68</v>
      </c>
      <c r="B34" s="36">
        <f>SUM(B3:B33)</f>
        <v>176</v>
      </c>
      <c r="C34" s="11" t="s">
        <v>35</v>
      </c>
    </row>
  </sheetData>
  <mergeCells count="1">
    <mergeCell ref="A1:C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2877E2-622B-488F-87EA-F8249120207D}">
  <dimension ref="A1:C34"/>
  <sheetViews>
    <sheetView zoomScaleNormal="80" zoomScaleSheetLayoutView="100" workbookViewId="0">
      <selection activeCell="E18" sqref="E18"/>
    </sheetView>
  </sheetViews>
  <sheetFormatPr defaultRowHeight="14.25" x14ac:dyDescent="0.45"/>
  <cols>
    <col min="1" max="1" width="34.3984375" bestFit="1" customWidth="1"/>
    <col min="2" max="2" width="9" style="10"/>
  </cols>
  <sheetData>
    <row r="1" spans="1:3" ht="14.65" thickBot="1" x14ac:dyDescent="0.5">
      <c r="A1" s="46" t="s">
        <v>69</v>
      </c>
      <c r="B1" s="47"/>
      <c r="C1" s="48"/>
    </row>
    <row r="2" spans="1:3" x14ac:dyDescent="0.45">
      <c r="A2" s="12" t="s">
        <v>41</v>
      </c>
      <c r="C2" s="13"/>
    </row>
    <row r="3" spans="1:3" x14ac:dyDescent="0.45">
      <c r="A3" s="14" t="s">
        <v>42</v>
      </c>
      <c r="B3" s="10">
        <v>8</v>
      </c>
      <c r="C3" s="13" t="s">
        <v>35</v>
      </c>
    </row>
    <row r="4" spans="1:3" x14ac:dyDescent="0.45">
      <c r="A4" s="14" t="s">
        <v>43</v>
      </c>
      <c r="B4" s="10">
        <v>8</v>
      </c>
      <c r="C4" s="13" t="s">
        <v>35</v>
      </c>
    </row>
    <row r="5" spans="1:3" x14ac:dyDescent="0.45">
      <c r="A5" s="14" t="s">
        <v>44</v>
      </c>
      <c r="B5" s="10">
        <v>8</v>
      </c>
      <c r="C5" s="13" t="s">
        <v>35</v>
      </c>
    </row>
    <row r="6" spans="1:3" x14ac:dyDescent="0.45">
      <c r="A6" s="14" t="s">
        <v>45</v>
      </c>
      <c r="B6" s="10">
        <v>8</v>
      </c>
      <c r="C6" s="13" t="s">
        <v>35</v>
      </c>
    </row>
    <row r="7" spans="1:3" x14ac:dyDescent="0.45">
      <c r="A7" s="14" t="s">
        <v>46</v>
      </c>
      <c r="B7" s="10">
        <v>8</v>
      </c>
      <c r="C7" s="13" t="s">
        <v>35</v>
      </c>
    </row>
    <row r="8" spans="1:3" x14ac:dyDescent="0.45">
      <c r="A8" s="14"/>
      <c r="C8" s="15"/>
    </row>
    <row r="9" spans="1:3" x14ac:dyDescent="0.45">
      <c r="A9" s="12" t="s">
        <v>47</v>
      </c>
      <c r="C9" s="13"/>
    </row>
    <row r="10" spans="1:3" x14ac:dyDescent="0.45">
      <c r="A10" s="14" t="s">
        <v>48</v>
      </c>
      <c r="B10" s="10">
        <v>8</v>
      </c>
      <c r="C10" s="13" t="s">
        <v>35</v>
      </c>
    </row>
    <row r="11" spans="1:3" x14ac:dyDescent="0.45">
      <c r="A11" s="14" t="s">
        <v>49</v>
      </c>
      <c r="B11" s="10">
        <v>8</v>
      </c>
      <c r="C11" s="13" t="s">
        <v>35</v>
      </c>
    </row>
    <row r="12" spans="1:3" x14ac:dyDescent="0.45">
      <c r="A12" s="14" t="s">
        <v>50</v>
      </c>
      <c r="B12" s="10">
        <v>8</v>
      </c>
      <c r="C12" s="13" t="s">
        <v>35</v>
      </c>
    </row>
    <row r="13" spans="1:3" x14ac:dyDescent="0.45">
      <c r="A13" s="14" t="s">
        <v>51</v>
      </c>
      <c r="B13" s="10">
        <v>8</v>
      </c>
      <c r="C13" s="13" t="s">
        <v>35</v>
      </c>
    </row>
    <row r="14" spans="1:3" x14ac:dyDescent="0.45">
      <c r="A14" s="14" t="s">
        <v>52</v>
      </c>
      <c r="B14" s="10">
        <v>8</v>
      </c>
      <c r="C14" s="13" t="s">
        <v>35</v>
      </c>
    </row>
    <row r="15" spans="1:3" x14ac:dyDescent="0.45">
      <c r="A15" s="16"/>
      <c r="C15" s="13"/>
    </row>
    <row r="16" spans="1:3" x14ac:dyDescent="0.45">
      <c r="A16" s="12" t="s">
        <v>53</v>
      </c>
      <c r="C16" s="13"/>
    </row>
    <row r="17" spans="1:3" x14ac:dyDescent="0.45">
      <c r="A17" s="14" t="s">
        <v>54</v>
      </c>
      <c r="B17" s="10">
        <v>8</v>
      </c>
      <c r="C17" s="13" t="s">
        <v>35</v>
      </c>
    </row>
    <row r="18" spans="1:3" x14ac:dyDescent="0.45">
      <c r="A18" s="14" t="s">
        <v>55</v>
      </c>
      <c r="B18" s="10">
        <v>8</v>
      </c>
      <c r="C18" s="13" t="s">
        <v>35</v>
      </c>
    </row>
    <row r="19" spans="1:3" x14ac:dyDescent="0.45">
      <c r="A19" s="14" t="s">
        <v>56</v>
      </c>
      <c r="B19" s="10">
        <v>8</v>
      </c>
      <c r="C19" s="13" t="s">
        <v>35</v>
      </c>
    </row>
    <row r="20" spans="1:3" x14ac:dyDescent="0.45">
      <c r="A20" s="14" t="s">
        <v>57</v>
      </c>
      <c r="B20" s="10">
        <v>8</v>
      </c>
      <c r="C20" s="13" t="s">
        <v>35</v>
      </c>
    </row>
    <row r="21" spans="1:3" x14ac:dyDescent="0.45">
      <c r="A21" s="14" t="s">
        <v>58</v>
      </c>
      <c r="B21" s="10">
        <v>8</v>
      </c>
      <c r="C21" s="13" t="s">
        <v>35</v>
      </c>
    </row>
    <row r="22" spans="1:3" x14ac:dyDescent="0.45">
      <c r="A22" s="16"/>
      <c r="C22" s="13"/>
    </row>
    <row r="23" spans="1:3" x14ac:dyDescent="0.45">
      <c r="A23" s="12" t="s">
        <v>59</v>
      </c>
      <c r="C23" s="13"/>
    </row>
    <row r="24" spans="1:3" x14ac:dyDescent="0.45">
      <c r="A24" s="14" t="s">
        <v>60</v>
      </c>
      <c r="B24" s="10">
        <v>8</v>
      </c>
      <c r="C24" s="13" t="s">
        <v>35</v>
      </c>
    </row>
    <row r="25" spans="1:3" x14ac:dyDescent="0.45">
      <c r="A25" s="14" t="s">
        <v>61</v>
      </c>
      <c r="B25" s="10">
        <v>8</v>
      </c>
      <c r="C25" s="13" t="s">
        <v>35</v>
      </c>
    </row>
    <row r="26" spans="1:3" x14ac:dyDescent="0.45">
      <c r="A26" s="14" t="s">
        <v>62</v>
      </c>
      <c r="B26" s="10">
        <v>8</v>
      </c>
      <c r="C26" s="13" t="s">
        <v>35</v>
      </c>
    </row>
    <row r="27" spans="1:3" x14ac:dyDescent="0.45">
      <c r="A27" s="14" t="s">
        <v>63</v>
      </c>
      <c r="B27" s="10">
        <v>8</v>
      </c>
      <c r="C27" s="13" t="s">
        <v>35</v>
      </c>
    </row>
    <row r="28" spans="1:3" x14ac:dyDescent="0.45">
      <c r="A28" s="14" t="s">
        <v>64</v>
      </c>
      <c r="B28" s="10">
        <v>8</v>
      </c>
      <c r="C28" s="13" t="s">
        <v>35</v>
      </c>
    </row>
    <row r="29" spans="1:3" x14ac:dyDescent="0.45">
      <c r="A29" s="16"/>
      <c r="C29" s="13"/>
    </row>
    <row r="30" spans="1:3" x14ac:dyDescent="0.45">
      <c r="A30" s="12" t="s">
        <v>65</v>
      </c>
      <c r="C30" s="13"/>
    </row>
    <row r="31" spans="1:3" x14ac:dyDescent="0.45">
      <c r="A31" s="14" t="s">
        <v>66</v>
      </c>
      <c r="B31" s="10">
        <v>8</v>
      </c>
      <c r="C31" s="13" t="s">
        <v>35</v>
      </c>
    </row>
    <row r="32" spans="1:3" x14ac:dyDescent="0.45">
      <c r="A32" s="14" t="s">
        <v>67</v>
      </c>
      <c r="B32" s="10">
        <v>8</v>
      </c>
      <c r="C32" s="13" t="s">
        <v>35</v>
      </c>
    </row>
    <row r="33" spans="1:3" ht="14.65" thickBot="1" x14ac:dyDescent="0.5">
      <c r="A33" s="16"/>
      <c r="C33" s="13"/>
    </row>
    <row r="34" spans="1:3" ht="14.65" thickBot="1" x14ac:dyDescent="0.5">
      <c r="A34" s="17" t="s">
        <v>68</v>
      </c>
      <c r="B34" s="36">
        <f>SUM(B3:B33)</f>
        <v>176</v>
      </c>
      <c r="C34" s="11" t="s">
        <v>35</v>
      </c>
    </row>
  </sheetData>
  <mergeCells count="1">
    <mergeCell ref="A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Werkbladen</vt:lpstr>
      </vt:variant>
      <vt:variant>
        <vt:i4>3</vt:i4>
      </vt:variant>
      <vt:variant>
        <vt:lpstr>Benoemde bereiken</vt:lpstr>
      </vt:variant>
      <vt:variant>
        <vt:i4>1</vt:i4>
      </vt:variant>
    </vt:vector>
  </HeadingPairs>
  <TitlesOfParts>
    <vt:vector size="4" baseType="lpstr">
      <vt:lpstr>Blad1</vt:lpstr>
      <vt:lpstr>Gewerkte uren Leon</vt:lpstr>
      <vt:lpstr>Gewerkte uren Mark</vt:lpstr>
      <vt:lpstr>Blad1!Afdrukbereik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Mark Kuijpers</dc:creator>
  <cp:keywords/>
  <dc:description/>
  <cp:lastModifiedBy>Mark Kuijpers</cp:lastModifiedBy>
  <cp:revision/>
  <dcterms:created xsi:type="dcterms:W3CDTF">2013-01-14T10:47:25Z</dcterms:created>
  <dcterms:modified xsi:type="dcterms:W3CDTF">2025-12-22T22:30:47Z</dcterms:modified>
  <cp:category/>
  <cp:contentStatus/>
</cp:coreProperties>
</file>