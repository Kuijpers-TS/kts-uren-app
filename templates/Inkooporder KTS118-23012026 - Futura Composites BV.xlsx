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2ea6c2ec2ae0875/Administratie KTS BV/KTS B.V/Offertes ^0 projecten/Projecten 2025/KTS118 - Namaak delen MG/Inkoop/"/>
    </mc:Choice>
  </mc:AlternateContent>
  <xr:revisionPtr revIDLastSave="148" documentId="11_37435BA639C28F9ACE779A1FC1F11415751E4DED" xr6:coauthVersionLast="47" xr6:coauthVersionMax="47" xr10:uidLastSave="{DDCB6950-660F-4802-AC20-1F7EFDB23800}"/>
  <bookViews>
    <workbookView xWindow="71880" yWindow="-120" windowWidth="29040" windowHeight="15720" xr2:uid="{00000000-000D-0000-FFFF-FFFF00000000}"/>
  </bookViews>
  <sheets>
    <sheet name="Purchase Order" sheetId="10" r:id="rId1"/>
  </sheets>
  <definedNames>
    <definedName name="_xlnm.Print_Area" localSheetId="0">'Purchase Order'!$A$1:$G$53</definedName>
    <definedName name="items">OFFSET(#REF!,0,0,MATCH(REPT("z",255),#REF!),1)</definedName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0" l="1"/>
  <c r="G36" i="10"/>
  <c r="G35" i="10"/>
  <c r="G27" i="10" l="1"/>
  <c r="G26" i="10"/>
  <c r="G25" i="10"/>
  <c r="G24" i="10"/>
  <c r="G23" i="10"/>
  <c r="G22" i="10"/>
  <c r="G21" i="10"/>
  <c r="G20" i="10"/>
  <c r="G19" i="10"/>
  <c r="G29" i="10" l="1"/>
  <c r="G31" i="10" l="1"/>
  <c r="G30" i="10"/>
  <c r="G28" i="10"/>
  <c r="G34" i="10" l="1"/>
  <c r="G33" i="10"/>
  <c r="G32" i="10"/>
  <c r="G5" i="10"/>
  <c r="G6" i="10" s="1"/>
  <c r="G40" i="10" l="1"/>
  <c r="G39" i="10"/>
  <c r="G38" i="10"/>
  <c r="G37" i="10"/>
  <c r="G18" i="10"/>
  <c r="G41" i="10" l="1"/>
  <c r="G42" i="10" l="1"/>
  <c r="G45" i="10" s="1"/>
</calcChain>
</file>

<file path=xl/sharedStrings.xml><?xml version="1.0" encoding="utf-8"?>
<sst xmlns="http://schemas.openxmlformats.org/spreadsheetml/2006/main" count="48" uniqueCount="40">
  <si>
    <t>ITEM #</t>
  </si>
  <si>
    <t>[42]</t>
  </si>
  <si>
    <t/>
  </si>
  <si>
    <t>PROJECT</t>
  </si>
  <si>
    <t>Scheidingsteken</t>
  </si>
  <si>
    <t>-</t>
  </si>
  <si>
    <t xml:space="preserve">
</t>
  </si>
  <si>
    <t>Mark Kuijpers</t>
  </si>
  <si>
    <t>Kuijpers Technical Services BV</t>
  </si>
  <si>
    <t>Inkooporder</t>
  </si>
  <si>
    <t>KTS118</t>
  </si>
  <si>
    <t>Nieuwboerweg 2A</t>
  </si>
  <si>
    <t>1738BB, Waarland</t>
  </si>
  <si>
    <t>Nederland</t>
  </si>
  <si>
    <t>Telefoon: +316 5123 9050</t>
  </si>
  <si>
    <t>LEVERANCIER</t>
  </si>
  <si>
    <t>LEVERADRES</t>
  </si>
  <si>
    <t>TOTAAL</t>
  </si>
  <si>
    <t>BTW</t>
  </si>
  <si>
    <t>TRANSPORT</t>
  </si>
  <si>
    <t>OVERIGE</t>
  </si>
  <si>
    <t>Opmerkingen of speciale instructies</t>
  </si>
  <si>
    <t>info@kuijpers-ts.nl</t>
  </si>
  <si>
    <t>KVK: 93410557</t>
  </si>
  <si>
    <t>BTW: NL866385368B01</t>
  </si>
  <si>
    <t>OMSCHRIJVING</t>
  </si>
  <si>
    <t>AANTAL</t>
  </si>
  <si>
    <t>PRIJS/STUK</t>
  </si>
  <si>
    <t>BETALINGSTERMIJN 30 dagen na levering</t>
  </si>
  <si>
    <t>DATUM</t>
  </si>
  <si>
    <t>PO-NUMMER</t>
  </si>
  <si>
    <t>Levering binnen 4 weken vanaf orderdatum, liefst zo snel mogelijk</t>
  </si>
  <si>
    <t>Futura Composites BV</t>
  </si>
  <si>
    <t>Frank van Duin</t>
  </si>
  <si>
    <t>Marconistraat 40</t>
  </si>
  <si>
    <t>1704RG, Heerhugowaard</t>
  </si>
  <si>
    <t>Telefoon: +316 3462 9294</t>
  </si>
  <si>
    <t>f.vanduin@futuracomposites.com</t>
  </si>
  <si>
    <t>KTS118-02-03</t>
  </si>
  <si>
    <t>Volgens offerte WhatsApp dd 16-01-2026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</si>
</sst>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32" x14ac:knownFonts="1"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rgb="FF2F2F2F"/>
      <name val="Segoe UI"/>
      <family val="2"/>
    </font>
    <font>
      <sz val="10"/>
      <color rgb="FF333333"/>
      <name val="Verdana"/>
      <family val="2"/>
    </font>
    <font>
      <b/>
      <u/>
      <sz val="20"/>
      <color rgb="FF07567F"/>
      <name val="DaxlinePro-ExtraBold"/>
      <family val="3"/>
    </font>
    <font>
      <b/>
      <sz val="20"/>
      <color rgb="FF07567F"/>
      <name val="DaxlinePro-ExtraBold"/>
      <family val="3"/>
    </font>
    <font>
      <sz val="10"/>
      <name val="DaxlinePro-ExtraBold"/>
      <family val="3"/>
    </font>
    <font>
      <sz val="9"/>
      <color rgb="FF333333"/>
      <name val="DaxlinePro-ExtraBold"/>
      <family val="3"/>
    </font>
    <font>
      <b/>
      <u/>
      <sz val="10"/>
      <color indexed="9"/>
      <name val="DaxlinePro-ExtraBold"/>
      <family val="3"/>
    </font>
    <font>
      <b/>
      <sz val="10"/>
      <color indexed="9"/>
      <name val="DaxlinePro-ExtraBold"/>
      <family val="3"/>
    </font>
    <font>
      <u/>
      <sz val="10"/>
      <color indexed="12"/>
      <name val="DaxlinePro-ExtraBold"/>
      <family val="3"/>
    </font>
    <font>
      <sz val="2"/>
      <color indexed="9"/>
      <name val="DaxlinePro-ExtraBold"/>
      <family val="3"/>
    </font>
    <font>
      <b/>
      <sz val="10"/>
      <color theme="0"/>
      <name val="DaxlinePro-ExtraBold"/>
      <family val="3"/>
    </font>
    <font>
      <b/>
      <sz val="10"/>
      <name val="DaxlinePro-ExtraBold"/>
      <family val="3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07567F"/>
        <bgColor indexed="64"/>
      </patternFill>
    </fill>
    <fill>
      <patternFill patternType="solid">
        <fgColor theme="3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7" fillId="0" borderId="0" applyNumberFormat="0" applyFill="0" applyBorder="0" applyAlignment="0" applyProtection="0"/>
    <xf numFmtId="0" fontId="8" fillId="1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11" borderId="1" applyNumberFormat="0" applyAlignment="0" applyProtection="0"/>
    <xf numFmtId="0" fontId="14" fillId="0" borderId="6" applyNumberFormat="0" applyFill="0" applyAlignment="0" applyProtection="0"/>
    <xf numFmtId="0" fontId="15" fillId="5" borderId="0" applyNumberFormat="0" applyBorder="0" applyAlignment="0" applyProtection="0"/>
    <xf numFmtId="0" fontId="6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0">
    <xf numFmtId="0" fontId="0" fillId="0" borderId="0" xfId="0"/>
    <xf numFmtId="0" fontId="20" fillId="0" borderId="0" xfId="0" applyFont="1"/>
    <xf numFmtId="14" fontId="20" fillId="0" borderId="0" xfId="0" applyNumberFormat="1" applyFont="1"/>
    <xf numFmtId="14" fontId="20" fillId="0" borderId="0" xfId="0" applyNumberFormat="1" applyFont="1" applyAlignment="1">
      <alignment horizontal="left"/>
    </xf>
    <xf numFmtId="0" fontId="21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49" fontId="24" fillId="0" borderId="29" xfId="0" quotePrefix="1" applyNumberFormat="1" applyFont="1" applyBorder="1" applyAlignment="1">
      <alignment horizontal="center" vertical="center"/>
    </xf>
    <xf numFmtId="14" fontId="24" fillId="0" borderId="2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center" readingOrder="1"/>
    </xf>
    <xf numFmtId="0" fontId="24" fillId="0" borderId="29" xfId="0" applyFont="1" applyBorder="1" applyAlignment="1">
      <alignment horizontal="center" vertical="center"/>
    </xf>
    <xf numFmtId="10" fontId="27" fillId="20" borderId="23" xfId="0" applyNumberFormat="1" applyFont="1" applyFill="1" applyBorder="1" applyAlignment="1">
      <alignment horizontal="left" vertical="center" shrinkToFit="1"/>
    </xf>
    <xf numFmtId="0" fontId="27" fillId="20" borderId="24" xfId="0" applyFont="1" applyFill="1" applyBorder="1" applyAlignment="1">
      <alignment horizontal="center" vertical="center" shrinkToFit="1"/>
    </xf>
    <xf numFmtId="0" fontId="24" fillId="0" borderId="25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/>
    </xf>
    <xf numFmtId="0" fontId="24" fillId="0" borderId="28" xfId="0" applyFont="1" applyBorder="1" applyAlignment="1">
      <alignment horizontal="left" vertical="center"/>
    </xf>
    <xf numFmtId="0" fontId="24" fillId="0" borderId="25" xfId="0" applyFont="1" applyBorder="1" applyAlignment="1">
      <alignment horizontal="center" vertical="center"/>
    </xf>
    <xf numFmtId="0" fontId="29" fillId="0" borderId="10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1" fillId="0" borderId="30" xfId="0" applyFont="1" applyBorder="1" applyAlignment="1">
      <alignment vertical="center"/>
    </xf>
    <xf numFmtId="44" fontId="31" fillId="20" borderId="30" xfId="0" applyNumberFormat="1" applyFont="1" applyFill="1" applyBorder="1" applyAlignment="1">
      <alignment vertical="center"/>
    </xf>
    <xf numFmtId="0" fontId="24" fillId="0" borderId="0" xfId="0" applyFont="1"/>
    <xf numFmtId="44" fontId="24" fillId="21" borderId="26" xfId="0" applyNumberFormat="1" applyFont="1" applyFill="1" applyBorder="1" applyAlignment="1">
      <alignment vertical="center"/>
    </xf>
    <xf numFmtId="44" fontId="24" fillId="21" borderId="25" xfId="0" applyNumberFormat="1" applyFont="1" applyFill="1" applyBorder="1" applyAlignment="1">
      <alignment vertical="center"/>
    </xf>
    <xf numFmtId="44" fontId="24" fillId="21" borderId="10" xfId="0" applyNumberFormat="1" applyFont="1" applyFill="1" applyBorder="1" applyAlignment="1">
      <alignment vertical="center"/>
    </xf>
    <xf numFmtId="44" fontId="24" fillId="21" borderId="7" xfId="0" applyNumberFormat="1" applyFont="1" applyFill="1" applyBorder="1" applyAlignment="1">
      <alignment vertical="center"/>
    </xf>
    <xf numFmtId="44" fontId="24" fillId="21" borderId="11" xfId="0" applyNumberFormat="1" applyFont="1" applyFill="1" applyBorder="1" applyAlignment="1">
      <alignment vertical="center"/>
    </xf>
    <xf numFmtId="44" fontId="24" fillId="0" borderId="25" xfId="0" applyNumberFormat="1" applyFont="1" applyBorder="1" applyAlignment="1">
      <alignment horizontal="right" vertical="center"/>
    </xf>
    <xf numFmtId="0" fontId="24" fillId="0" borderId="26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/>
    </xf>
    <xf numFmtId="0" fontId="24" fillId="0" borderId="28" xfId="0" applyFont="1" applyBorder="1" applyAlignment="1">
      <alignment horizontal="left" vertical="center"/>
    </xf>
    <xf numFmtId="0" fontId="30" fillId="20" borderId="12" xfId="0" applyFont="1" applyFill="1" applyBorder="1" applyAlignment="1">
      <alignment horizontal="left" vertical="center"/>
    </xf>
    <xf numFmtId="0" fontId="30" fillId="20" borderId="13" xfId="0" applyFont="1" applyFill="1" applyBorder="1" applyAlignment="1">
      <alignment horizontal="left" vertical="center"/>
    </xf>
    <xf numFmtId="0" fontId="30" fillId="20" borderId="14" xfId="0" applyFont="1" applyFill="1" applyBorder="1" applyAlignment="1">
      <alignment horizontal="left" vertical="center"/>
    </xf>
    <xf numFmtId="0" fontId="24" fillId="0" borderId="15" xfId="0" applyFont="1" applyBorder="1" applyAlignment="1">
      <alignment horizontal="left" vertical="top" wrapText="1"/>
    </xf>
    <xf numFmtId="0" fontId="24" fillId="0" borderId="16" xfId="0" applyFont="1" applyBorder="1" applyAlignment="1">
      <alignment horizontal="left"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18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4" fillId="0" borderId="19" xfId="0" applyFont="1" applyBorder="1" applyAlignment="1">
      <alignment horizontal="left" vertical="top" wrapText="1"/>
    </xf>
    <xf numFmtId="0" fontId="24" fillId="0" borderId="20" xfId="0" applyFont="1" applyBorder="1" applyAlignment="1">
      <alignment horizontal="left" vertical="top" wrapText="1"/>
    </xf>
    <xf numFmtId="0" fontId="24" fillId="0" borderId="21" xfId="0" applyFont="1" applyBorder="1" applyAlignment="1">
      <alignment horizontal="left" vertical="top" wrapText="1"/>
    </xf>
    <xf numFmtId="0" fontId="24" fillId="0" borderId="22" xfId="0" applyFont="1" applyBorder="1" applyAlignment="1">
      <alignment horizontal="left" vertical="top" wrapText="1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10" fontId="27" fillId="20" borderId="24" xfId="0" applyNumberFormat="1" applyFont="1" applyFill="1" applyBorder="1" applyAlignment="1">
      <alignment horizontal="left" vertical="center" shrinkToFit="1"/>
    </xf>
    <xf numFmtId="0" fontId="24" fillId="0" borderId="10" xfId="0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vertical="center" wrapText="1"/>
    </xf>
    <xf numFmtId="0" fontId="24" fillId="0" borderId="28" xfId="0" applyFont="1" applyBorder="1" applyAlignment="1">
      <alignment horizontal="left" vertical="center" wrapText="1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6" fillId="20" borderId="0" xfId="0" applyFont="1" applyFill="1" applyAlignment="1">
      <alignment horizontal="left" vertical="center"/>
    </xf>
    <xf numFmtId="0" fontId="28" fillId="0" borderId="0" xfId="34" applyFont="1" applyBorder="1" applyAlignment="1" applyProtection="1">
      <alignment horizontal="left" vertical="center"/>
    </xf>
    <xf numFmtId="0" fontId="28" fillId="0" borderId="0" xfId="34" applyFont="1" applyAlignment="1" applyProtection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erekening" xfId="26" builtinId="22" customBuiltin="1"/>
    <cellStyle name="Controlecel" xfId="27" builtinId="23" customBuiltin="1"/>
    <cellStyle name="Gekoppelde cel" xfId="36" builtinId="24" customBuiltin="1"/>
    <cellStyle name="Goed" xfId="29" builtinId="26" customBuiltin="1"/>
    <cellStyle name="Hyperlink" xfId="34" builtinId="8" customBuiltin="1"/>
    <cellStyle name="Invoer" xfId="35" builtinId="20" customBuiltin="1"/>
    <cellStyle name="Kop 1" xfId="30" builtinId="16" customBuiltin="1"/>
    <cellStyle name="Kop 2" xfId="31" builtinId="17" customBuiltin="1"/>
    <cellStyle name="Kop 3" xfId="32" builtinId="18" customBuiltin="1"/>
    <cellStyle name="Kop 4" xfId="33" builtinId="19" customBuiltin="1"/>
    <cellStyle name="Neutraal" xfId="37" builtinId="28" customBuiltin="1"/>
    <cellStyle name="Notitie" xfId="38" builtinId="10" customBuiltin="1"/>
    <cellStyle name="Ongeldig" xfId="25" builtinId="27" customBuiltin="1"/>
    <cellStyle name="Standaard" xfId="0" builtinId="0"/>
    <cellStyle name="Titel" xfId="40" builtinId="15" customBuiltin="1"/>
    <cellStyle name="Totaal" xfId="41" builtinId="25" customBuiltin="1"/>
    <cellStyle name="Uitvoer" xfId="39" builtinId="21" customBuiltin="1"/>
    <cellStyle name="Verklarende tekst" xfId="28" builtinId="53" customBuiltin="1"/>
    <cellStyle name="Waarschuwingsteks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7567F"/>
      <color rgb="FFE25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142876</xdr:colOff>
      <xdr:row>47</xdr:row>
      <xdr:rowOff>57192</xdr:rowOff>
    </xdr:from>
    <xdr:to>
      <xdr:col>6</xdr:col>
      <xdr:colOff>66675</xdr:colOff>
      <xdr:row>52</xdr:row>
      <xdr:rowOff>115385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992F0478-A670-4C5A-88CC-B5D8D6024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1" y="9105942"/>
          <a:ext cx="3743324" cy="963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kuijpers-ts.nl" TargetMode="External"/><Relationship Id="rId2" Type="http://schemas.openxmlformats.org/officeDocument/2006/relationships/hyperlink" Target="mailto:info@kuijpers-ts.nl" TargetMode="External"/><Relationship Id="rId1" Type="http://schemas.openxmlformats.org/officeDocument/2006/relationships/hyperlink" Target="mailto:f.vanduin@futuracomposites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8"/>
  <sheetViews>
    <sheetView showGridLines="0" tabSelected="1" view="pageLayout" zoomScaleNormal="100" workbookViewId="0">
      <selection activeCell="D34" sqref="D34"/>
    </sheetView>
  </sheetViews>
  <sheetFormatPr defaultColWidth="8.85546875" defaultRowHeight="13.9" x14ac:dyDescent="0.45"/>
  <cols>
    <col min="1" max="1" width="11.5" customWidth="1"/>
    <col min="2" max="2" width="11.42578125" customWidth="1"/>
    <col min="3" max="3" width="11.28515625" customWidth="1"/>
    <col min="4" max="4" width="22.5703125" customWidth="1"/>
    <col min="5" max="5" width="7.92578125" bestFit="1" customWidth="1"/>
    <col min="6" max="6" width="15" customWidth="1"/>
    <col min="7" max="7" width="21.85546875" customWidth="1"/>
    <col min="8" max="8" width="6.42578125" customWidth="1"/>
    <col min="11" max="11" width="61.5703125" bestFit="1" customWidth="1"/>
  </cols>
  <sheetData>
    <row r="1" spans="1:11" ht="28.45" customHeight="1" x14ac:dyDescent="0.45">
      <c r="A1" s="48" t="s">
        <v>8</v>
      </c>
      <c r="B1" s="48"/>
      <c r="C1" s="48"/>
      <c r="D1" s="48"/>
      <c r="E1" s="47" t="s">
        <v>9</v>
      </c>
      <c r="F1" s="47"/>
      <c r="G1" s="47"/>
    </row>
    <row r="2" spans="1:11" ht="14.2" customHeight="1" x14ac:dyDescent="0.45">
      <c r="A2" s="56" t="s">
        <v>11</v>
      </c>
      <c r="B2" s="56"/>
      <c r="C2" s="56"/>
      <c r="D2" s="5"/>
      <c r="E2" s="5"/>
      <c r="F2" s="5"/>
      <c r="G2" s="5"/>
    </row>
    <row r="3" spans="1:11" ht="14.2" customHeight="1" x14ac:dyDescent="0.45">
      <c r="A3" s="56" t="s">
        <v>12</v>
      </c>
      <c r="B3" s="56"/>
      <c r="C3" s="56"/>
      <c r="D3" s="5"/>
      <c r="E3" s="5"/>
      <c r="F3" s="6" t="s">
        <v>3</v>
      </c>
      <c r="G3" s="7" t="s">
        <v>10</v>
      </c>
    </row>
    <row r="4" spans="1:11" ht="15" hidden="1" customHeight="1" x14ac:dyDescent="0.45">
      <c r="A4" s="5"/>
      <c r="B4" s="5"/>
      <c r="C4" s="5"/>
      <c r="D4" s="5"/>
      <c r="E4" s="5"/>
      <c r="F4" s="6" t="s">
        <v>4</v>
      </c>
      <c r="G4" s="7" t="s">
        <v>5</v>
      </c>
    </row>
    <row r="5" spans="1:11" ht="14.2" customHeight="1" x14ac:dyDescent="0.45">
      <c r="A5" s="56" t="s">
        <v>13</v>
      </c>
      <c r="B5" s="56"/>
      <c r="C5" s="56"/>
      <c r="D5" s="5"/>
      <c r="E5" s="5"/>
      <c r="F5" s="6" t="s">
        <v>29</v>
      </c>
      <c r="G5" s="8">
        <f ca="1">TODAY()</f>
        <v>46045</v>
      </c>
    </row>
    <row r="6" spans="1:11" ht="14.2" customHeight="1" x14ac:dyDescent="0.7">
      <c r="A6" s="56" t="s">
        <v>23</v>
      </c>
      <c r="B6" s="56"/>
      <c r="C6" s="56"/>
      <c r="D6" s="9"/>
      <c r="E6" s="5"/>
      <c r="F6" s="6" t="s">
        <v>30</v>
      </c>
      <c r="G6" s="10" t="str">
        <f ca="1">CONCATENATE(G3, G4, (TEXT(G5,"ddmmjjjj")))</f>
        <v>KTS118-23012026</v>
      </c>
      <c r="K6" s="1"/>
    </row>
    <row r="7" spans="1:11" ht="14.2" customHeight="1" x14ac:dyDescent="0.45">
      <c r="A7" s="56" t="s">
        <v>24</v>
      </c>
      <c r="B7" s="56"/>
      <c r="C7" s="56"/>
      <c r="D7" s="5"/>
      <c r="E7" s="5"/>
      <c r="F7" s="5"/>
      <c r="G7" s="5"/>
      <c r="J7" s="4"/>
    </row>
    <row r="8" spans="1:11" ht="14.2" customHeight="1" x14ac:dyDescent="0.7">
      <c r="A8" s="5"/>
      <c r="B8" s="5"/>
      <c r="C8" s="5"/>
      <c r="D8" s="5"/>
      <c r="E8" s="5"/>
      <c r="F8" s="5"/>
      <c r="G8" s="5"/>
      <c r="K8" s="1"/>
    </row>
    <row r="9" spans="1:11" ht="14.2" customHeight="1" x14ac:dyDescent="0.7">
      <c r="A9" s="57" t="s">
        <v>15</v>
      </c>
      <c r="B9" s="57"/>
      <c r="C9" s="57"/>
      <c r="D9" s="5"/>
      <c r="E9" s="57" t="s">
        <v>16</v>
      </c>
      <c r="F9" s="57"/>
      <c r="G9" s="57"/>
      <c r="K9" s="3"/>
    </row>
    <row r="10" spans="1:11" ht="14.2" customHeight="1" x14ac:dyDescent="0.45">
      <c r="A10" s="56" t="s">
        <v>32</v>
      </c>
      <c r="B10" s="56"/>
      <c r="C10" s="56"/>
      <c r="D10" s="5"/>
      <c r="E10" s="56" t="s">
        <v>7</v>
      </c>
      <c r="F10" s="56"/>
      <c r="G10" s="56"/>
    </row>
    <row r="11" spans="1:11" ht="14.2" customHeight="1" x14ac:dyDescent="0.7">
      <c r="A11" s="56" t="s">
        <v>33</v>
      </c>
      <c r="B11" s="56"/>
      <c r="C11" s="56"/>
      <c r="D11" s="5"/>
      <c r="E11" s="56" t="s">
        <v>8</v>
      </c>
      <c r="F11" s="56"/>
      <c r="G11" s="56"/>
      <c r="K11" s="1"/>
    </row>
    <row r="12" spans="1:11" ht="14.2" customHeight="1" x14ac:dyDescent="0.45">
      <c r="A12" s="56" t="s">
        <v>34</v>
      </c>
      <c r="B12" s="56"/>
      <c r="C12" s="56"/>
      <c r="D12" s="5"/>
      <c r="E12" s="56" t="s">
        <v>11</v>
      </c>
      <c r="F12" s="56"/>
      <c r="G12" s="56"/>
    </row>
    <row r="13" spans="1:11" ht="14.2" customHeight="1" x14ac:dyDescent="0.7">
      <c r="A13" s="56" t="s">
        <v>35</v>
      </c>
      <c r="B13" s="56"/>
      <c r="C13" s="56"/>
      <c r="D13" s="5"/>
      <c r="E13" s="56" t="s">
        <v>12</v>
      </c>
      <c r="F13" s="56"/>
      <c r="G13" s="56"/>
      <c r="K13" s="2"/>
    </row>
    <row r="14" spans="1:11" ht="14.2" customHeight="1" x14ac:dyDescent="0.45">
      <c r="A14" s="56" t="s">
        <v>36</v>
      </c>
      <c r="B14" s="56"/>
      <c r="C14" s="56"/>
      <c r="D14" s="5"/>
      <c r="E14" s="56" t="s">
        <v>14</v>
      </c>
      <c r="F14" s="56"/>
      <c r="G14" s="56"/>
    </row>
    <row r="15" spans="1:11" ht="14.2" customHeight="1" x14ac:dyDescent="0.45">
      <c r="A15" s="58" t="s">
        <v>37</v>
      </c>
      <c r="B15" s="58"/>
      <c r="C15" s="58"/>
      <c r="D15" s="5"/>
      <c r="E15" s="59" t="s">
        <v>22</v>
      </c>
      <c r="F15" s="59"/>
      <c r="G15" s="59"/>
    </row>
    <row r="16" spans="1:11" ht="14.2" customHeight="1" x14ac:dyDescent="0.45">
      <c r="A16" s="5"/>
      <c r="B16" s="5"/>
      <c r="C16" s="5"/>
      <c r="D16" s="5"/>
      <c r="E16" s="5"/>
      <c r="F16" s="5"/>
      <c r="G16" s="5"/>
    </row>
    <row r="17" spans="1:7" ht="14.2" customHeight="1" x14ac:dyDescent="0.45">
      <c r="A17" s="11" t="s">
        <v>0</v>
      </c>
      <c r="B17" s="49" t="s">
        <v>25</v>
      </c>
      <c r="C17" s="49"/>
      <c r="D17" s="49"/>
      <c r="E17" s="12" t="s">
        <v>26</v>
      </c>
      <c r="F17" s="12" t="s">
        <v>27</v>
      </c>
      <c r="G17" s="12" t="s">
        <v>17</v>
      </c>
    </row>
    <row r="18" spans="1:7" ht="14.2" customHeight="1" x14ac:dyDescent="0.45">
      <c r="A18" s="13">
        <v>1</v>
      </c>
      <c r="B18" s="30" t="s">
        <v>38</v>
      </c>
      <c r="C18" s="31"/>
      <c r="D18" s="32"/>
      <c r="E18" s="17">
        <v>4</v>
      </c>
      <c r="F18" s="29">
        <f>(2951.5+1241)/4</f>
        <v>1048.125</v>
      </c>
      <c r="G18" s="24">
        <f t="shared" ref="G18:G40" si="0">E18*F18</f>
        <v>4192.5</v>
      </c>
    </row>
    <row r="19" spans="1:7" ht="14.2" customHeight="1" x14ac:dyDescent="0.45">
      <c r="A19" s="13"/>
      <c r="B19" s="14" t="s">
        <v>39</v>
      </c>
      <c r="C19" s="15"/>
      <c r="D19" s="16"/>
      <c r="E19" s="17"/>
      <c r="F19" s="29"/>
      <c r="G19" s="25">
        <f t="shared" si="0"/>
        <v>0</v>
      </c>
    </row>
    <row r="20" spans="1:7" ht="14.2" customHeight="1" x14ac:dyDescent="0.45">
      <c r="A20" s="13"/>
      <c r="B20" s="30"/>
      <c r="C20" s="31"/>
      <c r="D20" s="32"/>
      <c r="E20" s="17"/>
      <c r="F20" s="29"/>
      <c r="G20" s="25">
        <f t="shared" si="0"/>
        <v>0</v>
      </c>
    </row>
    <row r="21" spans="1:7" ht="14.2" customHeight="1" x14ac:dyDescent="0.45">
      <c r="A21" s="13"/>
      <c r="B21" s="30"/>
      <c r="C21" s="31"/>
      <c r="D21" s="32"/>
      <c r="E21" s="17"/>
      <c r="F21" s="29"/>
      <c r="G21" s="25">
        <f t="shared" si="0"/>
        <v>0</v>
      </c>
    </row>
    <row r="22" spans="1:7" ht="14.2" customHeight="1" x14ac:dyDescent="0.45">
      <c r="A22" s="13"/>
      <c r="B22" s="14"/>
      <c r="C22" s="15"/>
      <c r="D22" s="16"/>
      <c r="E22" s="17"/>
      <c r="F22" s="29"/>
      <c r="G22" s="25">
        <f t="shared" si="0"/>
        <v>0</v>
      </c>
    </row>
    <row r="23" spans="1:7" ht="14.2" customHeight="1" x14ac:dyDescent="0.45">
      <c r="A23" s="13"/>
      <c r="B23" s="14"/>
      <c r="C23" s="15"/>
      <c r="D23" s="16"/>
      <c r="E23" s="17"/>
      <c r="F23" s="29"/>
      <c r="G23" s="25">
        <f t="shared" si="0"/>
        <v>0</v>
      </c>
    </row>
    <row r="24" spans="1:7" ht="14.2" customHeight="1" x14ac:dyDescent="0.45">
      <c r="A24" s="13"/>
      <c r="B24" s="14"/>
      <c r="C24" s="15"/>
      <c r="D24" s="16"/>
      <c r="E24" s="17"/>
      <c r="F24" s="29"/>
      <c r="G24" s="25">
        <f t="shared" si="0"/>
        <v>0</v>
      </c>
    </row>
    <row r="25" spans="1:7" ht="14.2" customHeight="1" x14ac:dyDescent="0.45">
      <c r="A25" s="13"/>
      <c r="B25" s="14"/>
      <c r="C25" s="15"/>
      <c r="D25" s="16"/>
      <c r="E25" s="17"/>
      <c r="F25" s="29"/>
      <c r="G25" s="25">
        <f t="shared" si="0"/>
        <v>0</v>
      </c>
    </row>
    <row r="26" spans="1:7" ht="14.2" customHeight="1" x14ac:dyDescent="0.45">
      <c r="A26" s="13"/>
      <c r="B26" s="30"/>
      <c r="C26" s="31"/>
      <c r="D26" s="32"/>
      <c r="E26" s="17"/>
      <c r="F26" s="29"/>
      <c r="G26" s="25">
        <f t="shared" si="0"/>
        <v>0</v>
      </c>
    </row>
    <row r="27" spans="1:7" ht="14.2" customHeight="1" x14ac:dyDescent="0.45">
      <c r="A27" s="13"/>
      <c r="B27" s="30"/>
      <c r="C27" s="31"/>
      <c r="D27" s="32"/>
      <c r="E27" s="17"/>
      <c r="F27" s="29"/>
      <c r="G27" s="25">
        <f t="shared" si="0"/>
        <v>0</v>
      </c>
    </row>
    <row r="28" spans="1:7" ht="14.2" customHeight="1" x14ac:dyDescent="0.45">
      <c r="A28" s="13"/>
      <c r="B28" s="51"/>
      <c r="C28" s="31"/>
      <c r="D28" s="32"/>
      <c r="E28" s="17"/>
      <c r="F28" s="29"/>
      <c r="G28" s="25">
        <f t="shared" ref="G28:G34" si="1">E28*F28</f>
        <v>0</v>
      </c>
    </row>
    <row r="29" spans="1:7" ht="14.2" customHeight="1" x14ac:dyDescent="0.45">
      <c r="A29" s="13"/>
      <c r="B29" s="51"/>
      <c r="C29" s="52"/>
      <c r="D29" s="53"/>
      <c r="E29" s="17"/>
      <c r="F29" s="29"/>
      <c r="G29" s="25">
        <f t="shared" si="1"/>
        <v>0</v>
      </c>
    </row>
    <row r="30" spans="1:7" ht="14.2" customHeight="1" x14ac:dyDescent="0.45">
      <c r="A30" s="13"/>
      <c r="B30" s="30"/>
      <c r="C30" s="31"/>
      <c r="D30" s="32"/>
      <c r="E30" s="17"/>
      <c r="F30" s="29"/>
      <c r="G30" s="25">
        <f t="shared" si="1"/>
        <v>0</v>
      </c>
    </row>
    <row r="31" spans="1:7" ht="14.2" customHeight="1" x14ac:dyDescent="0.45">
      <c r="A31" s="13"/>
      <c r="B31" s="14"/>
      <c r="C31" s="15"/>
      <c r="D31" s="16"/>
      <c r="E31" s="17"/>
      <c r="F31" s="29"/>
      <c r="G31" s="25">
        <f t="shared" si="1"/>
        <v>0</v>
      </c>
    </row>
    <row r="32" spans="1:7" ht="14.2" customHeight="1" x14ac:dyDescent="0.45">
      <c r="A32" s="13"/>
      <c r="B32" s="30"/>
      <c r="C32" s="31"/>
      <c r="D32" s="32"/>
      <c r="E32" s="17"/>
      <c r="F32" s="29"/>
      <c r="G32" s="25">
        <f t="shared" si="1"/>
        <v>0</v>
      </c>
    </row>
    <row r="33" spans="1:7" ht="14.2" customHeight="1" x14ac:dyDescent="0.45">
      <c r="A33" s="13"/>
      <c r="B33" s="14"/>
      <c r="C33" s="15"/>
      <c r="D33" s="16"/>
      <c r="E33" s="17"/>
      <c r="F33" s="29"/>
      <c r="G33" s="25">
        <f t="shared" si="1"/>
        <v>0</v>
      </c>
    </row>
    <row r="34" spans="1:7" ht="14.2" customHeight="1" x14ac:dyDescent="0.45">
      <c r="A34" s="13"/>
      <c r="B34" s="14"/>
      <c r="C34" s="15"/>
      <c r="D34" s="16"/>
      <c r="E34" s="17"/>
      <c r="F34" s="29"/>
      <c r="G34" s="25">
        <f t="shared" si="1"/>
        <v>0</v>
      </c>
    </row>
    <row r="35" spans="1:7" ht="14.2" customHeight="1" x14ac:dyDescent="0.45">
      <c r="A35" s="13"/>
      <c r="B35" s="14"/>
      <c r="C35" s="15"/>
      <c r="D35" s="16"/>
      <c r="E35" s="17"/>
      <c r="F35" s="29"/>
      <c r="G35" s="25">
        <f t="shared" ref="G35:G36" si="2">E35*F35</f>
        <v>0</v>
      </c>
    </row>
    <row r="36" spans="1:7" ht="14.2" customHeight="1" x14ac:dyDescent="0.45">
      <c r="A36" s="13"/>
      <c r="B36" s="14"/>
      <c r="C36" s="15"/>
      <c r="D36" s="16"/>
      <c r="E36" s="17"/>
      <c r="F36" s="29"/>
      <c r="G36" s="25">
        <f t="shared" si="2"/>
        <v>0</v>
      </c>
    </row>
    <row r="37" spans="1:7" ht="14.2" customHeight="1" x14ac:dyDescent="0.45">
      <c r="A37" s="13" t="s">
        <v>2</v>
      </c>
      <c r="B37" s="30"/>
      <c r="C37" s="31"/>
      <c r="D37" s="32"/>
      <c r="E37" s="17"/>
      <c r="F37" s="29"/>
      <c r="G37" s="25">
        <f t="shared" si="0"/>
        <v>0</v>
      </c>
    </row>
    <row r="38" spans="1:7" ht="14.2" customHeight="1" x14ac:dyDescent="0.45">
      <c r="A38" s="13" t="s">
        <v>2</v>
      </c>
      <c r="B38" s="30"/>
      <c r="C38" s="31"/>
      <c r="D38" s="32"/>
      <c r="E38" s="17"/>
      <c r="F38" s="29"/>
      <c r="G38" s="25">
        <f t="shared" si="0"/>
        <v>0</v>
      </c>
    </row>
    <row r="39" spans="1:7" ht="14.2" customHeight="1" x14ac:dyDescent="0.45">
      <c r="A39" s="13" t="s">
        <v>2</v>
      </c>
      <c r="B39" s="30"/>
      <c r="C39" s="31"/>
      <c r="D39" s="32"/>
      <c r="E39" s="17"/>
      <c r="F39" s="29"/>
      <c r="G39" s="25">
        <f t="shared" si="0"/>
        <v>0</v>
      </c>
    </row>
    <row r="40" spans="1:7" ht="14.2" customHeight="1" x14ac:dyDescent="0.45">
      <c r="A40" s="13" t="s">
        <v>2</v>
      </c>
      <c r="B40" s="30"/>
      <c r="C40" s="31"/>
      <c r="D40" s="32"/>
      <c r="E40" s="17"/>
      <c r="F40" s="29"/>
      <c r="G40" s="25">
        <f t="shared" si="0"/>
        <v>0</v>
      </c>
    </row>
    <row r="41" spans="1:7" ht="14.2" customHeight="1" x14ac:dyDescent="0.45">
      <c r="A41" s="50"/>
      <c r="B41" s="50"/>
      <c r="C41" s="50"/>
      <c r="D41" s="50"/>
      <c r="E41" s="18" t="s">
        <v>1</v>
      </c>
      <c r="F41" s="19" t="s">
        <v>17</v>
      </c>
      <c r="G41" s="26">
        <f>SUM(G18:G40)</f>
        <v>4192.5</v>
      </c>
    </row>
    <row r="42" spans="1:7" ht="14.2" customHeight="1" x14ac:dyDescent="0.45">
      <c r="A42" s="33" t="s">
        <v>21</v>
      </c>
      <c r="B42" s="34"/>
      <c r="C42" s="34"/>
      <c r="D42" s="35"/>
      <c r="E42" s="20"/>
      <c r="F42" s="5" t="s">
        <v>18</v>
      </c>
      <c r="G42" s="27">
        <f>G41*0.21</f>
        <v>880.42499999999995</v>
      </c>
    </row>
    <row r="43" spans="1:7" ht="14.2" customHeight="1" x14ac:dyDescent="0.45">
      <c r="A43" s="36" t="s">
        <v>31</v>
      </c>
      <c r="B43" s="37"/>
      <c r="C43" s="37"/>
      <c r="D43" s="38"/>
      <c r="E43" s="5"/>
      <c r="F43" s="5" t="s">
        <v>19</v>
      </c>
      <c r="G43" s="27">
        <v>0</v>
      </c>
    </row>
    <row r="44" spans="1:7" ht="14.2" customHeight="1" thickBot="1" x14ac:dyDescent="0.5">
      <c r="A44" s="39"/>
      <c r="B44" s="40"/>
      <c r="C44" s="40"/>
      <c r="D44" s="41"/>
      <c r="E44" s="5"/>
      <c r="F44" s="5" t="s">
        <v>20</v>
      </c>
      <c r="G44" s="28">
        <v>0</v>
      </c>
    </row>
    <row r="45" spans="1:7" ht="14.2" customHeight="1" thickBot="1" x14ac:dyDescent="0.5">
      <c r="A45" s="39"/>
      <c r="B45" s="40"/>
      <c r="C45" s="40"/>
      <c r="D45" s="41"/>
      <c r="E45" s="5"/>
      <c r="F45" s="21" t="s">
        <v>17</v>
      </c>
      <c r="G45" s="22">
        <f>SUM(G41:G44)</f>
        <v>5072.9250000000002</v>
      </c>
    </row>
    <row r="46" spans="1:7" ht="14.2" customHeight="1" thickBot="1" x14ac:dyDescent="0.5">
      <c r="A46" s="39"/>
      <c r="B46" s="40"/>
      <c r="C46" s="40"/>
      <c r="D46" s="41"/>
      <c r="E46" s="5"/>
      <c r="F46" s="5"/>
      <c r="G46" s="5"/>
    </row>
    <row r="47" spans="1:7" ht="14.2" customHeight="1" thickBot="1" x14ac:dyDescent="0.5">
      <c r="A47" s="42"/>
      <c r="B47" s="43"/>
      <c r="C47" s="43"/>
      <c r="D47" s="44"/>
      <c r="E47" s="5"/>
      <c r="F47" s="54" t="s">
        <v>28</v>
      </c>
      <c r="G47" s="55"/>
    </row>
    <row r="48" spans="1:7" ht="14.2" customHeight="1" x14ac:dyDescent="0.45">
      <c r="A48" s="23"/>
      <c r="B48" s="23"/>
      <c r="C48" s="23"/>
      <c r="D48" s="23"/>
      <c r="E48" s="5"/>
      <c r="F48" s="5"/>
      <c r="G48" s="5"/>
    </row>
    <row r="49" spans="1:7" ht="14.2" customHeight="1" x14ac:dyDescent="0.45">
      <c r="A49" s="45" t="s">
        <v>6</v>
      </c>
      <c r="B49" s="46"/>
      <c r="C49" s="46"/>
      <c r="D49" s="46"/>
      <c r="E49" s="46"/>
      <c r="F49" s="46"/>
      <c r="G49" s="46"/>
    </row>
    <row r="50" spans="1:7" ht="14.2" customHeight="1" x14ac:dyDescent="0.45">
      <c r="A50" s="23"/>
      <c r="B50" s="23"/>
      <c r="C50" s="23"/>
      <c r="D50" s="23"/>
      <c r="E50" s="23"/>
      <c r="F50" s="23"/>
      <c r="G50" s="23"/>
    </row>
    <row r="51" spans="1:7" ht="14.2" customHeight="1" x14ac:dyDescent="0.45">
      <c r="A51" s="23"/>
      <c r="B51" s="23"/>
      <c r="C51" s="23"/>
      <c r="D51" s="23"/>
      <c r="E51" s="23"/>
      <c r="F51" s="23"/>
      <c r="G51" s="23"/>
    </row>
    <row r="52" spans="1:7" ht="14.2" customHeight="1" x14ac:dyDescent="0.45">
      <c r="A52" s="23"/>
      <c r="B52" s="23"/>
      <c r="C52" s="23"/>
      <c r="D52" s="23"/>
      <c r="E52" s="23"/>
      <c r="F52" s="23"/>
      <c r="G52" s="23"/>
    </row>
    <row r="53" spans="1:7" ht="14.2" customHeight="1" x14ac:dyDescent="0.45">
      <c r="A53" s="23"/>
      <c r="B53" s="23"/>
      <c r="C53" s="23"/>
      <c r="D53" s="23"/>
      <c r="E53" s="23"/>
      <c r="F53" s="23"/>
      <c r="G53" s="23"/>
    </row>
    <row r="54" spans="1:7" ht="14.2" customHeight="1" x14ac:dyDescent="0.45">
      <c r="A54" s="23"/>
      <c r="B54" s="23"/>
      <c r="C54" s="23"/>
      <c r="D54" s="23"/>
      <c r="E54" s="23"/>
      <c r="F54" s="23"/>
      <c r="G54" s="23"/>
    </row>
    <row r="55" spans="1:7" ht="14.2" customHeight="1" x14ac:dyDescent="0.45">
      <c r="A55" s="23"/>
      <c r="B55" s="23"/>
      <c r="C55" s="23"/>
      <c r="D55" s="23"/>
      <c r="E55" s="23"/>
      <c r="F55" s="23"/>
      <c r="G55" s="23"/>
    </row>
    <row r="56" spans="1:7" ht="14.2" customHeight="1" x14ac:dyDescent="0.45">
      <c r="A56" s="23"/>
      <c r="B56" s="23"/>
      <c r="C56" s="23"/>
      <c r="D56" s="23"/>
      <c r="E56" s="23"/>
      <c r="F56" s="23"/>
      <c r="G56" s="23"/>
    </row>
    <row r="57" spans="1:7" ht="14.2" customHeight="1" x14ac:dyDescent="0.45">
      <c r="A57" s="23"/>
      <c r="B57" s="23"/>
      <c r="C57" s="23"/>
      <c r="D57" s="23"/>
      <c r="E57" s="23"/>
      <c r="F57" s="23"/>
      <c r="G57" s="23"/>
    </row>
    <row r="58" spans="1:7" ht="14.2" customHeight="1" x14ac:dyDescent="0.45">
      <c r="A58" s="23"/>
      <c r="B58" s="23"/>
      <c r="C58" s="23"/>
      <c r="D58" s="23"/>
      <c r="E58" s="23"/>
      <c r="F58" s="23"/>
      <c r="G58" s="23"/>
    </row>
  </sheetData>
  <mergeCells count="40">
    <mergeCell ref="A7:C7"/>
    <mergeCell ref="A6:C6"/>
    <mergeCell ref="A5:C5"/>
    <mergeCell ref="A3:C3"/>
    <mergeCell ref="A2:C2"/>
    <mergeCell ref="E10:G10"/>
    <mergeCell ref="E9:G9"/>
    <mergeCell ref="A15:C15"/>
    <mergeCell ref="A14:C14"/>
    <mergeCell ref="A13:C13"/>
    <mergeCell ref="A12:C12"/>
    <mergeCell ref="A11:C11"/>
    <mergeCell ref="A10:C10"/>
    <mergeCell ref="A9:C9"/>
    <mergeCell ref="E15:G15"/>
    <mergeCell ref="E14:G14"/>
    <mergeCell ref="E13:G13"/>
    <mergeCell ref="E12:G12"/>
    <mergeCell ref="E11:G11"/>
    <mergeCell ref="A49:G49"/>
    <mergeCell ref="E1:G1"/>
    <mergeCell ref="A1:D1"/>
    <mergeCell ref="B18:D18"/>
    <mergeCell ref="B17:D17"/>
    <mergeCell ref="B27:D27"/>
    <mergeCell ref="A41:D41"/>
    <mergeCell ref="B20:D20"/>
    <mergeCell ref="B26:D26"/>
    <mergeCell ref="B29:D29"/>
    <mergeCell ref="B40:D40"/>
    <mergeCell ref="B28:D28"/>
    <mergeCell ref="F47:G47"/>
    <mergeCell ref="B21:D21"/>
    <mergeCell ref="B30:D30"/>
    <mergeCell ref="B37:D37"/>
    <mergeCell ref="B38:D38"/>
    <mergeCell ref="B39:D39"/>
    <mergeCell ref="A42:D42"/>
    <mergeCell ref="B32:D32"/>
    <mergeCell ref="A43:D47"/>
  </mergeCells>
  <hyperlinks>
    <hyperlink ref="A15" r:id="rId1" xr:uid="{00000000-0004-0000-0000-000001000000}"/>
    <hyperlink ref="A7" r:id="rId2" display="info@kuijpers-ts.nl" xr:uid="{2AF08C0F-1D56-4C0F-832C-79E5BB6FCB3B}"/>
    <hyperlink ref="E15" r:id="rId3" xr:uid="{F6B6469C-6493-4B9A-96F3-EC2792AED6C8}"/>
  </hyperlinks>
  <printOptions horizontalCentered="1"/>
  <pageMargins left="0.5" right="0.5" top="0.5" bottom="0.5" header="0.3" footer="0.3"/>
  <pageSetup scale="98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Purchase Order</vt:lpstr>
      <vt:lpstr>'Purchase Order'!Afdrukbereik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Kuijpers | Bell Dredging Pumps</dc:creator>
  <dc:description>(c) 2008-2015 Vertex42 LLC. All Rights Reserved.</dc:description>
  <cp:lastModifiedBy>Mark Kuijpers</cp:lastModifiedBy>
  <cp:lastPrinted>2026-01-23T10:06:45Z</cp:lastPrinted>
  <dcterms:created xsi:type="dcterms:W3CDTF">2009-04-10T15:20:03Z</dcterms:created>
  <dcterms:modified xsi:type="dcterms:W3CDTF">2026-01-23T10:06:46Z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2008-2015 Vertex42 LLC</vt:lpwstr>
  </property>
  <property fmtid="{D5CDD505-2E9C-101B-9397-08002B2CF9AE}" pid="3" name="Version">
    <vt:lpwstr>1.2.1</vt:lpwstr>
  </property>
</Properties>
</file>